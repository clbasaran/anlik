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OULMATE KÖTEKLİ\Downloads\"/>
    </mc:Choice>
  </mc:AlternateContent>
  <xr:revisionPtr revIDLastSave="0" documentId="13_ncr:1_{48439CAB-F476-4DBF-B0D2-4978B57BF5E3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STOK TAKİBİ" sheetId="1" r:id="rId1"/>
    <sheet name="ZAYİ TAKİBİ" sheetId="2" r:id="rId2"/>
    <sheet name="İKRAM TAKİBİ" sheetId="3" r:id="rId3"/>
    <sheet name="COST - P&amp;L" sheetId="4" r:id="rId4"/>
    <sheet name="KULLANIM KILAVUZU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4" l="1"/>
  <c r="B16" i="4"/>
  <c r="H15" i="4"/>
  <c r="B15" i="4"/>
  <c r="B26" i="4" s="1"/>
  <c r="H14" i="4"/>
  <c r="H13" i="4"/>
  <c r="H9" i="4"/>
  <c r="C9" i="4"/>
  <c r="B9" i="4"/>
  <c r="H8" i="4"/>
  <c r="C8" i="4"/>
  <c r="B8" i="4"/>
  <c r="H7" i="4"/>
  <c r="C7" i="4"/>
  <c r="B7" i="4"/>
  <c r="H6" i="4"/>
  <c r="D6" i="4"/>
  <c r="C6" i="4"/>
  <c r="B6" i="4"/>
  <c r="C5" i="4"/>
  <c r="B5" i="4"/>
  <c r="AG61" i="3"/>
  <c r="AG60" i="3"/>
  <c r="AG59" i="3"/>
  <c r="AG58" i="3"/>
  <c r="AG57" i="3"/>
  <c r="AG56" i="3"/>
  <c r="AG55" i="3"/>
  <c r="AG54" i="3"/>
  <c r="AG53" i="3"/>
  <c r="AG52" i="3"/>
  <c r="AG51" i="3"/>
  <c r="AG50" i="3"/>
  <c r="AG49" i="3"/>
  <c r="AG48" i="3"/>
  <c r="AG47" i="3"/>
  <c r="AG46" i="3"/>
  <c r="AG45" i="3"/>
  <c r="AG44" i="3"/>
  <c r="AG43" i="3"/>
  <c r="AG42" i="3"/>
  <c r="AG41" i="3"/>
  <c r="AG40" i="3"/>
  <c r="AG39" i="3"/>
  <c r="AG38" i="3"/>
  <c r="AG37" i="3"/>
  <c r="AG36" i="3"/>
  <c r="AG35" i="3"/>
  <c r="AG34" i="3"/>
  <c r="AG33" i="3"/>
  <c r="AG32" i="3"/>
  <c r="AG31" i="3"/>
  <c r="AG30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G5" i="3"/>
  <c r="AG4" i="3"/>
  <c r="AG3" i="3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G3" i="2"/>
  <c r="P63" i="1"/>
  <c r="N63" i="1"/>
  <c r="Q62" i="1"/>
  <c r="O62" i="1"/>
  <c r="K62" i="1"/>
  <c r="L62" i="1" s="1"/>
  <c r="M62" i="1" s="1"/>
  <c r="S61" i="1"/>
  <c r="R61" i="1"/>
  <c r="Q61" i="1"/>
  <c r="O61" i="1"/>
  <c r="L61" i="1"/>
  <c r="M61" i="1" s="1"/>
  <c r="K61" i="1"/>
  <c r="Q60" i="1"/>
  <c r="O60" i="1"/>
  <c r="K60" i="1"/>
  <c r="L60" i="1" s="1"/>
  <c r="S59" i="1"/>
  <c r="R59" i="1"/>
  <c r="Q59" i="1"/>
  <c r="O59" i="1"/>
  <c r="L59" i="1"/>
  <c r="M59" i="1" s="1"/>
  <c r="K59" i="1"/>
  <c r="Q58" i="1"/>
  <c r="O58" i="1"/>
  <c r="K58" i="1"/>
  <c r="L58" i="1" s="1"/>
  <c r="S57" i="1"/>
  <c r="R57" i="1"/>
  <c r="Q57" i="1"/>
  <c r="O57" i="1"/>
  <c r="K57" i="1"/>
  <c r="L57" i="1" s="1"/>
  <c r="M57" i="1" s="1"/>
  <c r="Q56" i="1"/>
  <c r="O56" i="1"/>
  <c r="K56" i="1"/>
  <c r="L56" i="1" s="1"/>
  <c r="R55" i="1"/>
  <c r="S55" i="1" s="1"/>
  <c r="Q55" i="1"/>
  <c r="O55" i="1"/>
  <c r="K55" i="1"/>
  <c r="L55" i="1" s="1"/>
  <c r="M55" i="1" s="1"/>
  <c r="Q54" i="1"/>
  <c r="O54" i="1"/>
  <c r="K54" i="1"/>
  <c r="L54" i="1" s="1"/>
  <c r="Q53" i="1"/>
  <c r="O53" i="1"/>
  <c r="K53" i="1"/>
  <c r="L53" i="1" s="1"/>
  <c r="Q52" i="1"/>
  <c r="O52" i="1"/>
  <c r="K52" i="1"/>
  <c r="L52" i="1" s="1"/>
  <c r="R52" i="1" s="1"/>
  <c r="S52" i="1" s="1"/>
  <c r="Q51" i="1"/>
  <c r="O51" i="1"/>
  <c r="M51" i="1"/>
  <c r="L51" i="1"/>
  <c r="R51" i="1" s="1"/>
  <c r="S51" i="1" s="1"/>
  <c r="K51" i="1"/>
  <c r="Q50" i="1"/>
  <c r="O50" i="1"/>
  <c r="K50" i="1"/>
  <c r="L50" i="1" s="1"/>
  <c r="M50" i="1" s="1"/>
  <c r="R49" i="1"/>
  <c r="S49" i="1" s="1"/>
  <c r="Q49" i="1"/>
  <c r="O49" i="1"/>
  <c r="M49" i="1"/>
  <c r="L49" i="1"/>
  <c r="K49" i="1"/>
  <c r="Q48" i="1"/>
  <c r="O48" i="1"/>
  <c r="K48" i="1"/>
  <c r="L48" i="1" s="1"/>
  <c r="R47" i="1"/>
  <c r="S47" i="1" s="1"/>
  <c r="Q47" i="1"/>
  <c r="O47" i="1"/>
  <c r="M47" i="1"/>
  <c r="L47" i="1"/>
  <c r="K47" i="1"/>
  <c r="Q46" i="1"/>
  <c r="O46" i="1"/>
  <c r="K46" i="1"/>
  <c r="L46" i="1" s="1"/>
  <c r="Q45" i="1"/>
  <c r="O45" i="1"/>
  <c r="K45" i="1"/>
  <c r="L45" i="1" s="1"/>
  <c r="M45" i="1" s="1"/>
  <c r="R44" i="1"/>
  <c r="S44" i="1" s="1"/>
  <c r="Q44" i="1"/>
  <c r="O44" i="1"/>
  <c r="L44" i="1"/>
  <c r="M44" i="1" s="1"/>
  <c r="K44" i="1"/>
  <c r="Q43" i="1"/>
  <c r="O43" i="1"/>
  <c r="K43" i="1"/>
  <c r="L43" i="1" s="1"/>
  <c r="M43" i="1" s="1"/>
  <c r="S42" i="1"/>
  <c r="R42" i="1"/>
  <c r="Q42" i="1"/>
  <c r="O42" i="1"/>
  <c r="L42" i="1"/>
  <c r="M42" i="1" s="1"/>
  <c r="K42" i="1"/>
  <c r="Q41" i="1"/>
  <c r="O41" i="1"/>
  <c r="K41" i="1"/>
  <c r="L41" i="1" s="1"/>
  <c r="S40" i="1"/>
  <c r="R40" i="1"/>
  <c r="Q40" i="1"/>
  <c r="O40" i="1"/>
  <c r="K40" i="1"/>
  <c r="L40" i="1" s="1"/>
  <c r="M40" i="1" s="1"/>
  <c r="Q39" i="1"/>
  <c r="O39" i="1"/>
  <c r="K39" i="1"/>
  <c r="L39" i="1" s="1"/>
  <c r="R38" i="1"/>
  <c r="S38" i="1" s="1"/>
  <c r="Q38" i="1"/>
  <c r="O38" i="1"/>
  <c r="K38" i="1"/>
  <c r="L38" i="1" s="1"/>
  <c r="M38" i="1" s="1"/>
  <c r="Q37" i="1"/>
  <c r="O37" i="1"/>
  <c r="K37" i="1"/>
  <c r="L37" i="1" s="1"/>
  <c r="Q36" i="1"/>
  <c r="O36" i="1"/>
  <c r="K36" i="1"/>
  <c r="L36" i="1" s="1"/>
  <c r="Q35" i="1"/>
  <c r="O35" i="1"/>
  <c r="L35" i="1"/>
  <c r="M35" i="1" s="1"/>
  <c r="K35" i="1"/>
  <c r="Q34" i="1"/>
  <c r="O34" i="1"/>
  <c r="K34" i="1"/>
  <c r="L34" i="1" s="1"/>
  <c r="Q33" i="1"/>
  <c r="O33" i="1"/>
  <c r="K33" i="1"/>
  <c r="L33" i="1" s="1"/>
  <c r="M33" i="1" s="1"/>
  <c r="R32" i="1"/>
  <c r="S32" i="1" s="1"/>
  <c r="Q32" i="1"/>
  <c r="O32" i="1"/>
  <c r="M32" i="1"/>
  <c r="L32" i="1"/>
  <c r="K32" i="1"/>
  <c r="Q31" i="1"/>
  <c r="O31" i="1"/>
  <c r="K31" i="1"/>
  <c r="L31" i="1" s="1"/>
  <c r="M31" i="1" s="1"/>
  <c r="R30" i="1"/>
  <c r="S30" i="1" s="1"/>
  <c r="Q30" i="1"/>
  <c r="O30" i="1"/>
  <c r="M30" i="1"/>
  <c r="L30" i="1"/>
  <c r="K30" i="1"/>
  <c r="Q29" i="1"/>
  <c r="O29" i="1"/>
  <c r="K29" i="1"/>
  <c r="L29" i="1" s="1"/>
  <c r="R28" i="1"/>
  <c r="S28" i="1" s="1"/>
  <c r="Q28" i="1"/>
  <c r="O28" i="1"/>
  <c r="M28" i="1"/>
  <c r="K28" i="1"/>
  <c r="L28" i="1" s="1"/>
  <c r="Q27" i="1"/>
  <c r="O27" i="1"/>
  <c r="L27" i="1"/>
  <c r="R27" i="1" s="1"/>
  <c r="S27" i="1" s="1"/>
  <c r="K27" i="1"/>
  <c r="Q26" i="1"/>
  <c r="O26" i="1"/>
  <c r="K26" i="1"/>
  <c r="L26" i="1" s="1"/>
  <c r="M26" i="1" s="1"/>
  <c r="S25" i="1"/>
  <c r="R25" i="1"/>
  <c r="Q25" i="1"/>
  <c r="O25" i="1"/>
  <c r="L25" i="1"/>
  <c r="M25" i="1" s="1"/>
  <c r="K25" i="1"/>
  <c r="Q24" i="1"/>
  <c r="O24" i="1"/>
  <c r="K24" i="1"/>
  <c r="L24" i="1" s="1"/>
  <c r="S23" i="1"/>
  <c r="R23" i="1"/>
  <c r="Q23" i="1"/>
  <c r="O23" i="1"/>
  <c r="L23" i="1"/>
  <c r="M23" i="1" s="1"/>
  <c r="K23" i="1"/>
  <c r="Q22" i="1"/>
  <c r="O22" i="1"/>
  <c r="K22" i="1"/>
  <c r="L22" i="1" s="1"/>
  <c r="S21" i="1"/>
  <c r="R21" i="1"/>
  <c r="Q21" i="1"/>
  <c r="O21" i="1"/>
  <c r="K21" i="1"/>
  <c r="L21" i="1" s="1"/>
  <c r="M21" i="1" s="1"/>
  <c r="Q20" i="1"/>
  <c r="O20" i="1"/>
  <c r="K20" i="1"/>
  <c r="L20" i="1" s="1"/>
  <c r="R19" i="1"/>
  <c r="S19" i="1" s="1"/>
  <c r="Q19" i="1"/>
  <c r="O19" i="1"/>
  <c r="L19" i="1"/>
  <c r="M19" i="1" s="1"/>
  <c r="K19" i="1"/>
  <c r="Q18" i="1"/>
  <c r="O18" i="1"/>
  <c r="K18" i="1"/>
  <c r="L18" i="1" s="1"/>
  <c r="Q17" i="1"/>
  <c r="O17" i="1"/>
  <c r="L17" i="1"/>
  <c r="R17" i="1" s="1"/>
  <c r="S17" i="1" s="1"/>
  <c r="K17" i="1"/>
  <c r="Q16" i="1"/>
  <c r="O16" i="1"/>
  <c r="K16" i="1"/>
  <c r="L16" i="1" s="1"/>
  <c r="M16" i="1" s="1"/>
  <c r="R15" i="1"/>
  <c r="S15" i="1" s="1"/>
  <c r="Q15" i="1"/>
  <c r="O15" i="1"/>
  <c r="L15" i="1"/>
  <c r="M15" i="1" s="1"/>
  <c r="K15" i="1"/>
  <c r="Q14" i="1"/>
  <c r="O14" i="1"/>
  <c r="K14" i="1"/>
  <c r="L14" i="1" s="1"/>
  <c r="M14" i="1" s="1"/>
  <c r="R13" i="1"/>
  <c r="S13" i="1" s="1"/>
  <c r="Q13" i="1"/>
  <c r="O13" i="1"/>
  <c r="L13" i="1"/>
  <c r="M13" i="1" s="1"/>
  <c r="K13" i="1"/>
  <c r="Q12" i="1"/>
  <c r="O12" i="1"/>
  <c r="K12" i="1"/>
  <c r="L12" i="1" s="1"/>
  <c r="R11" i="1"/>
  <c r="S11" i="1" s="1"/>
  <c r="Q11" i="1"/>
  <c r="O11" i="1"/>
  <c r="M11" i="1"/>
  <c r="L11" i="1"/>
  <c r="K11" i="1"/>
  <c r="Q10" i="1"/>
  <c r="O10" i="1"/>
  <c r="K10" i="1"/>
  <c r="L10" i="1" s="1"/>
  <c r="R9" i="1"/>
  <c r="S9" i="1" s="1"/>
  <c r="Q9" i="1"/>
  <c r="O9" i="1"/>
  <c r="K9" i="1"/>
  <c r="L9" i="1" s="1"/>
  <c r="M9" i="1" s="1"/>
  <c r="Q8" i="1"/>
  <c r="O8" i="1"/>
  <c r="K8" i="1"/>
  <c r="L8" i="1" s="1"/>
  <c r="R7" i="1"/>
  <c r="S7" i="1" s="1"/>
  <c r="Q7" i="1"/>
  <c r="O7" i="1"/>
  <c r="L7" i="1"/>
  <c r="M7" i="1" s="1"/>
  <c r="K7" i="1"/>
  <c r="Q6" i="1"/>
  <c r="O6" i="1"/>
  <c r="K6" i="1"/>
  <c r="D9" i="4" s="1"/>
  <c r="Q5" i="1"/>
  <c r="O5" i="1"/>
  <c r="L5" i="1"/>
  <c r="R5" i="1" s="1"/>
  <c r="S5" i="1" s="1"/>
  <c r="K5" i="1"/>
  <c r="Q4" i="1"/>
  <c r="O4" i="1"/>
  <c r="O63" i="1" s="1"/>
  <c r="K4" i="1"/>
  <c r="D5" i="4" s="1"/>
  <c r="R36" i="1" l="1"/>
  <c r="S36" i="1" s="1"/>
  <c r="M36" i="1"/>
  <c r="R29" i="1"/>
  <c r="S29" i="1" s="1"/>
  <c r="M29" i="1"/>
  <c r="R12" i="1"/>
  <c r="S12" i="1" s="1"/>
  <c r="M12" i="1"/>
  <c r="M8" i="1"/>
  <c r="R8" i="1"/>
  <c r="S8" i="1" s="1"/>
  <c r="M18" i="1"/>
  <c r="R18" i="1"/>
  <c r="S18" i="1" s="1"/>
  <c r="R53" i="1"/>
  <c r="S53" i="1" s="1"/>
  <c r="M53" i="1"/>
  <c r="R39" i="1"/>
  <c r="S39" i="1" s="1"/>
  <c r="M39" i="1"/>
  <c r="M54" i="1"/>
  <c r="R54" i="1"/>
  <c r="S54" i="1" s="1"/>
  <c r="R60" i="1"/>
  <c r="S60" i="1" s="1"/>
  <c r="M60" i="1"/>
  <c r="R48" i="1"/>
  <c r="S48" i="1" s="1"/>
  <c r="M48" i="1"/>
  <c r="R22" i="1"/>
  <c r="S22" i="1" s="1"/>
  <c r="M22" i="1"/>
  <c r="R24" i="1"/>
  <c r="S24" i="1" s="1"/>
  <c r="M24" i="1"/>
  <c r="R58" i="1"/>
  <c r="S58" i="1" s="1"/>
  <c r="M58" i="1"/>
  <c r="R10" i="1"/>
  <c r="S10" i="1" s="1"/>
  <c r="M10" i="1"/>
  <c r="R46" i="1"/>
  <c r="S46" i="1" s="1"/>
  <c r="M46" i="1"/>
  <c r="M37" i="1"/>
  <c r="R37" i="1"/>
  <c r="S37" i="1" s="1"/>
  <c r="R34" i="1"/>
  <c r="S34" i="1" s="1"/>
  <c r="M34" i="1"/>
  <c r="M56" i="1"/>
  <c r="R56" i="1"/>
  <c r="S56" i="1" s="1"/>
  <c r="M20" i="1"/>
  <c r="R20" i="1"/>
  <c r="S20" i="1" s="1"/>
  <c r="R41" i="1"/>
  <c r="S41" i="1" s="1"/>
  <c r="M41" i="1"/>
  <c r="R14" i="1"/>
  <c r="S14" i="1" s="1"/>
  <c r="R16" i="1"/>
  <c r="S16" i="1" s="1"/>
  <c r="L6" i="1"/>
  <c r="M52" i="1"/>
  <c r="R33" i="1"/>
  <c r="S33" i="1" s="1"/>
  <c r="R35" i="1"/>
  <c r="S35" i="1" s="1"/>
  <c r="D7" i="4"/>
  <c r="D10" i="4" s="1"/>
  <c r="M27" i="1"/>
  <c r="R31" i="1"/>
  <c r="S31" i="1" s="1"/>
  <c r="R50" i="1"/>
  <c r="S50" i="1" s="1"/>
  <c r="R45" i="1"/>
  <c r="S45" i="1" s="1"/>
  <c r="R26" i="1"/>
  <c r="S26" i="1" s="1"/>
  <c r="Q63" i="1"/>
  <c r="D8" i="4"/>
  <c r="R43" i="1"/>
  <c r="S43" i="1" s="1"/>
  <c r="R62" i="1"/>
  <c r="S62" i="1" s="1"/>
  <c r="B10" i="4"/>
  <c r="M5" i="1"/>
  <c r="M17" i="1"/>
  <c r="C10" i="4"/>
  <c r="L4" i="1"/>
  <c r="M6" i="1" l="1"/>
  <c r="R6" i="1"/>
  <c r="S6" i="1" s="1"/>
  <c r="M4" i="1"/>
  <c r="L63" i="1"/>
  <c r="R4" i="1"/>
  <c r="R63" i="1" l="1"/>
  <c r="S4" i="1"/>
  <c r="S63" i="1" s="1"/>
  <c r="E5" i="4"/>
  <c r="E7" i="4"/>
  <c r="E9" i="4"/>
  <c r="E8" i="4"/>
  <c r="E6" i="4"/>
  <c r="M63" i="1"/>
  <c r="E10" i="4" l="1"/>
  <c r="B18" i="4" s="1"/>
  <c r="B27" i="4" s="1"/>
  <c r="B28" i="4" s="1"/>
</calcChain>
</file>

<file path=xl/sharedStrings.xml><?xml version="1.0" encoding="utf-8"?>
<sst xmlns="http://schemas.openxmlformats.org/spreadsheetml/2006/main" count="640" uniqueCount="338">
  <si>
    <t>SOULMATE COFFEE - KÖTEKLİ ŞUBESİ - 2026 OCAK STOK TAKİP TABLOSU</t>
  </si>
  <si>
    <t>Mavi renkli hücreler giriş alanıdır. Formülleri değiştirmeyiniz.</t>
  </si>
  <si>
    <t>ÜRÜN ADI</t>
  </si>
  <si>
    <t>GRUP</t>
  </si>
  <si>
    <t>BİRİM</t>
  </si>
  <si>
    <t>BİRİM FİYAT
(KDV Hariç)</t>
  </si>
  <si>
    <t>DEVİR
(Ay Başı)</t>
  </si>
  <si>
    <t>GELEN
(Alım)</t>
  </si>
  <si>
    <t>1. SAYIM</t>
  </si>
  <si>
    <t>2. SAYIM</t>
  </si>
  <si>
    <t>3. SAYIM</t>
  </si>
  <si>
    <t>4. SAYIM</t>
  </si>
  <si>
    <t>AY SONU
STOK</t>
  </si>
  <si>
    <t>TOPLAM
KULLANIM</t>
  </si>
  <si>
    <t>KULLANIM
TUTARI (₺)</t>
  </si>
  <si>
    <t>ZAYİ
ADET</t>
  </si>
  <si>
    <t>ZAYİ
TUTARI (₺)</t>
  </si>
  <si>
    <t>İKRAM
ADET</t>
  </si>
  <si>
    <t>İKRAM
TUTARI (₺)</t>
  </si>
  <si>
    <t>NET KULLANIM
ADET</t>
  </si>
  <si>
    <t>NET KULLANIM
TUTARI (₺)</t>
  </si>
  <si>
    <t>Espresso Çekirdek (kg)</t>
  </si>
  <si>
    <t>SICAK İÇECEK</t>
  </si>
  <si>
    <t>KG</t>
  </si>
  <si>
    <t>Filtre Kahve (kg)</t>
  </si>
  <si>
    <t>Türk Kahvesi (kg)</t>
  </si>
  <si>
    <t>Süt (1L)</t>
  </si>
  <si>
    <t>ADET</t>
  </si>
  <si>
    <t>Bitkisel Süt - Yulaf (1L)</t>
  </si>
  <si>
    <t>Bitkisel Süt - Badem (1L)</t>
  </si>
  <si>
    <t>Sıcak Çikolata (kg)</t>
  </si>
  <si>
    <t>Matcha Tozu (250g)</t>
  </si>
  <si>
    <t>Chai Latte Tozu (kg)</t>
  </si>
  <si>
    <t>Bitki Çayı (kutu)</t>
  </si>
  <si>
    <t>Siyah Çay (kg)</t>
  </si>
  <si>
    <t>Vanilya Şurup</t>
  </si>
  <si>
    <t>Karamel Şurup</t>
  </si>
  <si>
    <t>Fındık Şurup</t>
  </si>
  <si>
    <t>Çikolata Sos</t>
  </si>
  <si>
    <t>Whipped Cream (tüp)</t>
  </si>
  <si>
    <t>Damla Su 330ml (24lü)</t>
  </si>
  <si>
    <t>SOĞUK İÇECEK</t>
  </si>
  <si>
    <t>KOLİ</t>
  </si>
  <si>
    <t>Damla Su 500ml (24lü)</t>
  </si>
  <si>
    <t>Soda (24lü)</t>
  </si>
  <si>
    <t>Coca Cola (24lü)</t>
  </si>
  <si>
    <t>Coca Cola Zero (24lü)</t>
  </si>
  <si>
    <t>Fuse Tea Şeftali (12li)</t>
  </si>
  <si>
    <t>Fuse Tea Limon (12li)</t>
  </si>
  <si>
    <t>Cappy Meyve Suyu (12li)</t>
  </si>
  <si>
    <t>Schweppes Limon (24lü)</t>
  </si>
  <si>
    <t>Schweppes Mandalina (24lü)</t>
  </si>
  <si>
    <t>Red Bull (24lü)</t>
  </si>
  <si>
    <t>Limonata Konsantre</t>
  </si>
  <si>
    <t>Buzlu Kahve Bazı (lt)</t>
  </si>
  <si>
    <t>Cheesecake (dilim)</t>
  </si>
  <si>
    <t>GIDA</t>
  </si>
  <si>
    <t>Brownie</t>
  </si>
  <si>
    <t>Cookie</t>
  </si>
  <si>
    <t>Muffin</t>
  </si>
  <si>
    <t>Croissant</t>
  </si>
  <si>
    <t>Sandviç Ekmeği</t>
  </si>
  <si>
    <t>Tost Ekmeği</t>
  </si>
  <si>
    <t>Kaşar Peyniri (kg)</t>
  </si>
  <si>
    <t>Sucuk (kg)</t>
  </si>
  <si>
    <t>Domates (kg)</t>
  </si>
  <si>
    <t>Salatalık (kg)</t>
  </si>
  <si>
    <t>Granola (kg)</t>
  </si>
  <si>
    <t>Bal Kavanoz</t>
  </si>
  <si>
    <t>Karton Bardak S (100lü)</t>
  </si>
  <si>
    <t>SARF</t>
  </si>
  <si>
    <t>Karton Bardak M (100lü)</t>
  </si>
  <si>
    <t>Karton Bardak L (100lü)</t>
  </si>
  <si>
    <t>Plastik Kapak (100lü)</t>
  </si>
  <si>
    <t>Pipet (paket)</t>
  </si>
  <si>
    <t>Peçete (paket)</t>
  </si>
  <si>
    <t>Paket Servis Poşeti (100lü)</t>
  </si>
  <si>
    <t>Sleeve / Bardak Kılıfı (100lü)</t>
  </si>
  <si>
    <t>Karıştırıcı (paket)</t>
  </si>
  <si>
    <t>Şeker Paketi (kg)</t>
  </si>
  <si>
    <t>Bulaşık Deterjanı</t>
  </si>
  <si>
    <t>TEMİZLİK</t>
  </si>
  <si>
    <t>Yüzey Temizleyici</t>
  </si>
  <si>
    <t>Cam Temizleyici</t>
  </si>
  <si>
    <t>Dezenfektan</t>
  </si>
  <si>
    <t>Elde Yıkama Sıvısı</t>
  </si>
  <si>
    <t>Çöp Poşeti (rulo)</t>
  </si>
  <si>
    <t>Kağıt Havlu (rulo)</t>
  </si>
  <si>
    <t>TOPLAM</t>
  </si>
  <si>
    <t>SOULMATE COFFEE - KÖTEKLİ ŞUBESİ - GÜNLÜK ZAYİ TAKİBİ - 2026 OCAK</t>
  </si>
  <si>
    <t>SOULMATE COFFEE - KÖTEKLİ ŞUBESİ - GÜNLÜK İKRAM TAKİBİ - 2026 OCAK</t>
  </si>
  <si>
    <t>SOULMATE COFFEE - KÖTEKLİ ŞUBESİ - AYLIK MALİYET VE KAR/ZARAR ÖZETİ</t>
  </si>
  <si>
    <t>TOPLU VERİLER</t>
  </si>
  <si>
    <t>ŞUBE BİLGİLERİ</t>
  </si>
  <si>
    <t>KATEGORİ</t>
  </si>
  <si>
    <t>DEVİR (₺)</t>
  </si>
  <si>
    <t>GELEN (₺)</t>
  </si>
  <si>
    <t>KALAN (₺)</t>
  </si>
  <si>
    <t>KULLANIM (₺)</t>
  </si>
  <si>
    <t>Şube Adı</t>
  </si>
  <si>
    <t>SOULMATE COFFEE - KÖTEKLİ ŞUBESİ</t>
  </si>
  <si>
    <t>CİRO (₺)</t>
  </si>
  <si>
    <t>İNDİRİM CİRO ORANI</t>
  </si>
  <si>
    <t>İKRAM CİRO ORANI</t>
  </si>
  <si>
    <t>ZAYİ CİRO ORANI</t>
  </si>
  <si>
    <t>GÜNLÜK CİRO ORT.</t>
  </si>
  <si>
    <t>ÇALIŞAN GÜN SAYISI</t>
  </si>
  <si>
    <t>COST ORANLARI</t>
  </si>
  <si>
    <t>GELİR - GİDER TABLOSU</t>
  </si>
  <si>
    <t>COST GIDA (%)</t>
  </si>
  <si>
    <t>KALEM</t>
  </si>
  <si>
    <t>TUTAR (₺)</t>
  </si>
  <si>
    <t>COST SARF (%)</t>
  </si>
  <si>
    <t>Ciro</t>
  </si>
  <si>
    <t>COST TEMİZLİK (%)</t>
  </si>
  <si>
    <t>Günlük Ortalama</t>
  </si>
  <si>
    <t>GENEL COST (%)</t>
  </si>
  <si>
    <t>Personel Maliyet</t>
  </si>
  <si>
    <t>COST (Malzeme)</t>
  </si>
  <si>
    <t>Kira</t>
  </si>
  <si>
    <t>Elektrik</t>
  </si>
  <si>
    <t>Su</t>
  </si>
  <si>
    <t>Doğalgaz</t>
  </si>
  <si>
    <t>İnternet</t>
  </si>
  <si>
    <t>Diğer Giderler / Vergiler</t>
  </si>
  <si>
    <t>GELİR TOPLAM</t>
  </si>
  <si>
    <t>GİDER TOPLAM</t>
  </si>
  <si>
    <t>AYLIK NET KAZANÇ</t>
  </si>
  <si>
    <t>SOULMATE COFFEE - KÖTEKLİ ŞUBESİ - KULLANIM KILAVUZU</t>
  </si>
  <si>
    <t>SAYFA AÇIKLAMALARI</t>
  </si>
  <si>
    <t>STOK TAKİBİ</t>
  </si>
  <si>
    <t>Ay başı devir, alım ve sayım bilgilerini girin. Kullanım otomatik hesaplanır.</t>
  </si>
  <si>
    <t>ZAYİ TAKİBİ</t>
  </si>
  <si>
    <t>Günlük zayi (bozulan/dökülen) ürün adetlerini girin.</t>
  </si>
  <si>
    <t>İKRAM TAKİBİ</t>
  </si>
  <si>
    <t>Günlük ikram edilen ürün adetlerini girin.</t>
  </si>
  <si>
    <t>COST - P&amp;L</t>
  </si>
  <si>
    <t>CİRO ve giderleri girin, kar/zarar ve cost oranları otomatik hesaplanır.</t>
  </si>
  <si>
    <t>RENK KODLARI</t>
  </si>
  <si>
    <t>Mavi yazı + Sarı zemin</t>
  </si>
  <si>
    <t>Giriş alanı (siz doldurun)</t>
  </si>
  <si>
    <t>Siyah yazı</t>
  </si>
  <si>
    <t>Formül (değiştirmeyin)</t>
  </si>
  <si>
    <t>Kırmızı zemin</t>
  </si>
  <si>
    <t>Zayi giriş alanı</t>
  </si>
  <si>
    <t>Yeşil zemin</t>
  </si>
  <si>
    <t>İkram giriş alanı</t>
  </si>
  <si>
    <t>ÖNEMLİ</t>
  </si>
  <si>
    <t>1.</t>
  </si>
  <si>
    <t>Ürün listesini kendi menünüze göre düzenleyin.</t>
  </si>
  <si>
    <t>2.</t>
  </si>
  <si>
    <t>Yeni ürün eklerken formülleri aşağı sürükleyin.</t>
  </si>
  <si>
    <t>3.</t>
  </si>
  <si>
    <t>Her ay başında DEVİR sütununa önceki ay sonu stok değerini girin.</t>
  </si>
  <si>
    <t>4.</t>
  </si>
  <si>
    <t>Sayım sütunlarından en az birini doldurun (ay sonu stok hesabı için).</t>
  </si>
  <si>
    <t>PASTA MOZAİK</t>
  </si>
  <si>
    <t>FELLAS DÖRT TOHUMLU KURUYEMİŞ BAR (30 GR. )</t>
  </si>
  <si>
    <t>ESPRESSO S</t>
  </si>
  <si>
    <t>S.FILTER COFFEE</t>
  </si>
  <si>
    <t>S.AMERICANO</t>
  </si>
  <si>
    <t>S.CAFE LATTE</t>
  </si>
  <si>
    <t>S.CAPPUCCINO</t>
  </si>
  <si>
    <t>S.CAFE MOCHA</t>
  </si>
  <si>
    <t>S.W.CHOC.MOCHA</t>
  </si>
  <si>
    <t>S.CARAMEL LATTE</t>
  </si>
  <si>
    <t>S.CRM.MACC.</t>
  </si>
  <si>
    <t>S.FLAT WHITE</t>
  </si>
  <si>
    <t>S.B.BERRY WHITE CHOC.</t>
  </si>
  <si>
    <t>S.CINNAMON ROLL LATTE</t>
  </si>
  <si>
    <t>S.SPICE MANGO LATTE</t>
  </si>
  <si>
    <t>S.MACADAMIA NUT LATTE</t>
  </si>
  <si>
    <t>S.MAPLE SPICE LATTE</t>
  </si>
  <si>
    <t xml:space="preserve">S.SPANISHA LATTE </t>
  </si>
  <si>
    <t>ESPRESSO M</t>
  </si>
  <si>
    <t>M.FILTER COFFEE</t>
  </si>
  <si>
    <t>M.AMERICANO</t>
  </si>
  <si>
    <t>M.CAFE LATTE</t>
  </si>
  <si>
    <t>M.CAPPUCCINO</t>
  </si>
  <si>
    <t>M.CAFE MOCHA</t>
  </si>
  <si>
    <t>M.WHT.CHOC.MOCHA</t>
  </si>
  <si>
    <t>M.CARAMEL LATTE</t>
  </si>
  <si>
    <t>M.CARAMEL MACCHIATO</t>
  </si>
  <si>
    <t>M.FLAT WHITE</t>
  </si>
  <si>
    <t>M.B.BERRY WHITE CHOC.</t>
  </si>
  <si>
    <t>M.CINNAMON ROLL LATTE</t>
  </si>
  <si>
    <t>M.SPICE MANGO LATTE</t>
  </si>
  <si>
    <t>M.MACADAMIA NUT LATTE</t>
  </si>
  <si>
    <t>M.MAPLE SPICE LATTE</t>
  </si>
  <si>
    <t>M.SPANISH LATTE</t>
  </si>
  <si>
    <t>ESPRESSO L</t>
  </si>
  <si>
    <t>L.FILTER COFFEE</t>
  </si>
  <si>
    <t>L.AMERICANO</t>
  </si>
  <si>
    <t>L.CAFE LATTE</t>
  </si>
  <si>
    <t>L.CAPPUCCINO</t>
  </si>
  <si>
    <t>L.CAFE MOCHA</t>
  </si>
  <si>
    <t>L.WHT.CHOC.MOCHA</t>
  </si>
  <si>
    <t>L.CARAMEL LATTE</t>
  </si>
  <si>
    <t>L.CARAMEL MACCHIATO</t>
  </si>
  <si>
    <t>L.FLAT WHITE</t>
  </si>
  <si>
    <t>L.B.BERRY WHITE CHOC.</t>
  </si>
  <si>
    <t>L.CINNAMON ROLL LATTE</t>
  </si>
  <si>
    <t>L.SPICE MANGO LATTE</t>
  </si>
  <si>
    <t>L.MACADAMIA NUT LATTE</t>
  </si>
  <si>
    <t>L.MAPLE SPICE LATTE</t>
  </si>
  <si>
    <t>L.SPANISH LATTE</t>
  </si>
  <si>
    <t>ICED COFFEE</t>
  </si>
  <si>
    <t>ICED FILTER COFFEE</t>
  </si>
  <si>
    <t>ICED AMERICANO</t>
  </si>
  <si>
    <t>ICED LATTE</t>
  </si>
  <si>
    <t>ICED MOCHA</t>
  </si>
  <si>
    <t>ICED WHITE MOCHA</t>
  </si>
  <si>
    <t>ICED CARAMEL</t>
  </si>
  <si>
    <t>ICED CHAI TEA LATTE</t>
  </si>
  <si>
    <t>ICED CRML.MACH.</t>
  </si>
  <si>
    <t>ICED B.BERRY W. CHOC.</t>
  </si>
  <si>
    <t>ICED SPICE MANGO LATTE</t>
  </si>
  <si>
    <t>ICED CINNAMON ROLL LATTE</t>
  </si>
  <si>
    <t>ICED MACADAMIA NUT LATTE</t>
  </si>
  <si>
    <t>ICED SPANISH LATTE</t>
  </si>
  <si>
    <t>FRAPPE</t>
  </si>
  <si>
    <t>CARAMEL FRAPPE</t>
  </si>
  <si>
    <t>HAZELNUT FRAPPE</t>
  </si>
  <si>
    <t>COCO. FRAPPE</t>
  </si>
  <si>
    <t>CHOC.MOCHA FRAPPE</t>
  </si>
  <si>
    <t>W.CHOC.MOCHA FRAPPE</t>
  </si>
  <si>
    <t>ICEPUCCINO</t>
  </si>
  <si>
    <t>CARAMEL MACADAMIA NUT FRAPPE</t>
  </si>
  <si>
    <t>WHITE MOCHA BLUEBERRY FRAPPE</t>
  </si>
  <si>
    <t>MOCHA TANGERİNE FRAPPE</t>
  </si>
  <si>
    <t>SMOOTHIES</t>
  </si>
  <si>
    <t>STRAWBERRY SMOOT.</t>
  </si>
  <si>
    <t>MANGO SMOOT.</t>
  </si>
  <si>
    <t>MIXY SMOOT.</t>
  </si>
  <si>
    <t>PASSION FRUIT SMOOT.</t>
  </si>
  <si>
    <t>JABUTICABA SMOOT.</t>
  </si>
  <si>
    <t>BUZLU İÇECEK</t>
  </si>
  <si>
    <t>MILKSHAKE</t>
  </si>
  <si>
    <t>DONDURMA</t>
  </si>
  <si>
    <t>BUBBLE TEA</t>
  </si>
  <si>
    <t>BUB.TEA MANGO</t>
  </si>
  <si>
    <t>BUB.TEA TROPICAL</t>
  </si>
  <si>
    <t>LİMONATA &amp; PORT.</t>
  </si>
  <si>
    <t>LİMONATA</t>
  </si>
  <si>
    <t>SIK.PORTAKAL</t>
  </si>
  <si>
    <t>ÇÖRÇİL</t>
  </si>
  <si>
    <t>ICED TEA</t>
  </si>
  <si>
    <t>ICED TROPIC TEA</t>
  </si>
  <si>
    <t>ICED HIBISCUS TEA</t>
  </si>
  <si>
    <t>ICED YUZU PASSION TEA</t>
  </si>
  <si>
    <t>ICED CRANBERRY HIBISCUS TEA</t>
  </si>
  <si>
    <t>ICED PINA COLADO</t>
  </si>
  <si>
    <t>ICED SPICE MANGO &amp; GREEN TEA</t>
  </si>
  <si>
    <t>3.NESİL</t>
  </si>
  <si>
    <t>COLD BREW</t>
  </si>
  <si>
    <t>COLD BREW  ŞİŞE</t>
  </si>
  <si>
    <t>HARIO V 60</t>
  </si>
  <si>
    <t>COLD BREW LATTE</t>
  </si>
  <si>
    <t>TÜRK KAHVESİ</t>
  </si>
  <si>
    <t>TÜRK KAHV.TEK.</t>
  </si>
  <si>
    <t>DOUBLE TÜRK KAHV.</t>
  </si>
  <si>
    <t>PERS.TÜRK KAH.</t>
  </si>
  <si>
    <t>ÇAY</t>
  </si>
  <si>
    <t>ÇAY S - FİNCAN</t>
  </si>
  <si>
    <t>ÇAY M</t>
  </si>
  <si>
    <t>ÇAY L</t>
  </si>
  <si>
    <t>EARL GREY</t>
  </si>
  <si>
    <t>TROPİKAL YEŞİL ÇAY</t>
  </si>
  <si>
    <t>KIŞ ÇAYI</t>
  </si>
  <si>
    <t>R.BERRY BLACK TEA</t>
  </si>
  <si>
    <t>PERS. ÇAY S.</t>
  </si>
  <si>
    <t>SICAKLAR S</t>
  </si>
  <si>
    <t>S.MILK</t>
  </si>
  <si>
    <t>S.HOT CHOCOLATE</t>
  </si>
  <si>
    <t>S.HOT WHITE CHOCOLATE</t>
  </si>
  <si>
    <t>S.SALEP</t>
  </si>
  <si>
    <t>S.CHAI TEA LATTE</t>
  </si>
  <si>
    <t>S.SICAK ÇİKOLATA TANGERİNE</t>
  </si>
  <si>
    <t>M.MILK</t>
  </si>
  <si>
    <t>M.HOT CHOCOLATE</t>
  </si>
  <si>
    <t>M.HOT WHITE CHOCOLATE</t>
  </si>
  <si>
    <t>M.SALEP</t>
  </si>
  <si>
    <t>M.CHAI TEA LATTE</t>
  </si>
  <si>
    <t>M.SICAK ÇİKOLATA TANGERİNE</t>
  </si>
  <si>
    <t>SICAKLAR M</t>
  </si>
  <si>
    <t>SICAKLAR L</t>
  </si>
  <si>
    <t>L.MILK</t>
  </si>
  <si>
    <t>L.HOT CHOC.</t>
  </si>
  <si>
    <t>L.HOT W.CHOC.</t>
  </si>
  <si>
    <t>L.SALEP</t>
  </si>
  <si>
    <t>L.CHAI TEA LATTE</t>
  </si>
  <si>
    <t>L.SICAK ÇİKOLATA TANGERİNE</t>
  </si>
  <si>
    <t>PASTA</t>
  </si>
  <si>
    <t>PASTA TIRAMISU</t>
  </si>
  <si>
    <t>PASTA FRMB.BELLA</t>
  </si>
  <si>
    <t>PASTA HAVUÇLU K.</t>
  </si>
  <si>
    <t>PASTA MARLENKA</t>
  </si>
  <si>
    <t>PASTA CRUNCHY YAB.MERS.</t>
  </si>
  <si>
    <t>PASTA COCO STAR</t>
  </si>
  <si>
    <t xml:space="preserve">PASTA ORMAN MEYVELİ CUP </t>
  </si>
  <si>
    <t xml:space="preserve">PASTA LEMON LUSH </t>
  </si>
  <si>
    <t>PASTA GOLDEN VELVET</t>
  </si>
  <si>
    <t>PASTA BERRY VELVET</t>
  </si>
  <si>
    <t>PASTA NUTELLA</t>
  </si>
  <si>
    <t>CHESEECAKE</t>
  </si>
  <si>
    <t>CHESEECAKE LİMON</t>
  </si>
  <si>
    <t>CHESEECAKE FRAMBUAZ</t>
  </si>
  <si>
    <t>KEK &amp; TURTA</t>
  </si>
  <si>
    <t>KEK MOZAİK</t>
  </si>
  <si>
    <t>MUFFİN ÇİFTE ÇİK.</t>
  </si>
  <si>
    <t>MUFFİN VİŞNELİ</t>
  </si>
  <si>
    <t>BOMBA</t>
  </si>
  <si>
    <t>BLUEBERRY &amp; LIME COOKIE</t>
  </si>
  <si>
    <t>BAKERY</t>
  </si>
  <si>
    <t>LAUGHING COW ÇÖREK</t>
  </si>
  <si>
    <t>GURME TEREYAĞLI KRUVASAN</t>
  </si>
  <si>
    <t>PAIN SUISSE ISPANAKLI PEYNİRLİ  ( 135 Gr.)</t>
  </si>
  <si>
    <t>AÇMA-PATATES PEYNİR ÖRGÜ</t>
  </si>
  <si>
    <t>POĞAÇA-DEREOTLU PEYNİRLİ</t>
  </si>
  <si>
    <t>SANDVIÇ</t>
  </si>
  <si>
    <t>SAND.BAGEL PEYNİR</t>
  </si>
  <si>
    <t>SANDVİÇ HİNDİ JAMBON PEYNİRLİ</t>
  </si>
  <si>
    <t>SANDVİÇ DANA JAM.- MOZARELLA</t>
  </si>
  <si>
    <t>SANDVİÇ TERİYAKİ TAVUK AVOKADO</t>
  </si>
  <si>
    <t>SANDVİÇ CİABATTA BEYAZ PEYNİRLİ</t>
  </si>
  <si>
    <t>KASA ÖNÜ ÜRÜN</t>
  </si>
  <si>
    <t>BAL KATLA BALLA</t>
  </si>
  <si>
    <t>CARAMEL WAFFLE</t>
  </si>
  <si>
    <t>SNACK MİLK CHOCOLATE</t>
  </si>
  <si>
    <t>BADEM KROKANLI BAR</t>
  </si>
  <si>
    <t>FELLAS HIGH PROTEIN BAR STRAWBERRY</t>
  </si>
  <si>
    <t>FELLAS HIGH PROTEIN BAR COCONUT &amp; COCOA</t>
  </si>
  <si>
    <t xml:space="preserve">LOTUS BİSCOFF BİSKÜVİ </t>
  </si>
  <si>
    <t>SNACK NUGOTTİ  40 GR</t>
  </si>
  <si>
    <t>BADEMLİ MİNİ KEK</t>
  </si>
  <si>
    <t>HAŞHAŞLI KURABİYE</t>
  </si>
  <si>
    <t>CORNY KAKAO KIRMIZI TAHIL BAR</t>
  </si>
  <si>
    <t>CORNY KARIŞIK TAHIL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</si>
</sst>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₺&quot;"/>
  </numFmts>
  <fonts count="1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3"/>
      <color rgb="FFFFFFFF"/>
      <name val="Arial"/>
      <charset val="1"/>
    </font>
    <font>
      <i/>
      <sz val="9"/>
      <color rgb="FF4472C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  <font>
      <b/>
      <sz val="11"/>
      <name val="Arial"/>
      <charset val="1"/>
    </font>
    <font>
      <b/>
      <sz val="12"/>
      <color rgb="FFFFFFFF"/>
      <name val="Arial"/>
      <charset val="1"/>
    </font>
    <font>
      <b/>
      <sz val="14"/>
      <color rgb="FFFFFFFF"/>
      <name val="Arial"/>
      <charset val="1"/>
    </font>
    <font>
      <b/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sz val="10"/>
      <color theme="6" tint="0.79998168889431442"/>
      <name val="Arial"/>
      <family val="2"/>
      <charset val="162"/>
    </font>
    <font>
      <b/>
      <sz val="10"/>
      <color theme="6" tint="0.79998168889431442"/>
      <name val="Arial"/>
      <family val="2"/>
      <charset val="162"/>
    </font>
    <font>
      <sz val="11"/>
      <color theme="6" tint="0.79998168889431442"/>
      <name val="Calibri"/>
      <family val="2"/>
      <charset val="162"/>
    </font>
  </fonts>
  <fills count="20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CC"/>
        <bgColor rgb="FFFFFFFF"/>
      </patternFill>
    </fill>
    <fill>
      <patternFill patternType="solid">
        <fgColor rgb="FFFFE0E0"/>
        <bgColor rgb="FFF2F2F2"/>
      </patternFill>
    </fill>
    <fill>
      <patternFill patternType="solid">
        <fgColor rgb="FFE0FFE0"/>
        <bgColor rgb="FFCCFFFF"/>
      </patternFill>
    </fill>
    <fill>
      <patternFill patternType="solid">
        <fgColor rgb="FF00B050"/>
        <bgColor rgb="FF008080"/>
      </patternFill>
    </fill>
    <fill>
      <patternFill patternType="solid">
        <fgColor rgb="FFC0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  <fill>
      <patternFill patternType="solid">
        <fgColor rgb="FFF2F2F2"/>
        <bgColor rgb="FFFFFFFF"/>
      </patternFill>
    </fill>
    <fill>
      <patternFill patternType="solid">
        <fgColor rgb="FFD6E4F0"/>
        <bgColor rgb="FFF2F2F2"/>
      </patternFill>
    </fill>
    <fill>
      <patternFill patternType="solid">
        <fgColor rgb="FFFFCCCC"/>
        <bgColor rgb="FFFFE0E0"/>
      </patternFill>
    </fill>
    <fill>
      <patternFill patternType="solid">
        <fgColor rgb="FF7030A0"/>
        <bgColor rgb="FF99336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2F2F2"/>
      </patternFill>
    </fill>
    <fill>
      <patternFill patternType="solid">
        <fgColor rgb="FF92D050"/>
        <bgColor rgb="FFCCFFFF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22">
    <xf numFmtId="0" fontId="0" fillId="0" borderId="0" xfId="0"/>
    <xf numFmtId="164" fontId="10" fillId="6" borderId="1" xfId="0" applyNumberFormat="1" applyFont="1" applyFill="1" applyBorder="1"/>
    <xf numFmtId="164" fontId="9" fillId="13" borderId="1" xfId="0" applyNumberFormat="1" applyFont="1" applyFill="1" applyBorder="1"/>
    <xf numFmtId="164" fontId="9" fillId="12" borderId="1" xfId="0" applyNumberFormat="1" applyFont="1" applyFill="1" applyBorder="1"/>
    <xf numFmtId="164" fontId="6" fillId="3" borderId="1" xfId="0" applyNumberFormat="1" applyFont="1" applyFill="1" applyBorder="1"/>
    <xf numFmtId="164" fontId="0" fillId="0" borderId="1" xfId="0" applyNumberFormat="1" applyBorder="1"/>
    <xf numFmtId="0" fontId="7" fillId="11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3" fontId="6" fillId="3" borderId="1" xfId="0" applyNumberFormat="1" applyFont="1" applyFill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3" fontId="6" fillId="4" borderId="1" xfId="0" applyNumberFormat="1" applyFont="1" applyFill="1" applyBorder="1" applyAlignment="1">
      <alignment vertical="center"/>
    </xf>
    <xf numFmtId="3" fontId="6" fillId="5" borderId="1" xfId="0" applyNumberFormat="1" applyFont="1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/>
    <xf numFmtId="3" fontId="4" fillId="6" borderId="1" xfId="0" applyNumberFormat="1" applyFont="1" applyFill="1" applyBorder="1"/>
    <xf numFmtId="164" fontId="4" fillId="6" borderId="1" xfId="0" applyNumberFormat="1" applyFont="1" applyFill="1" applyBorder="1"/>
    <xf numFmtId="0" fontId="4" fillId="7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3" fontId="6" fillId="4" borderId="1" xfId="0" applyNumberFormat="1" applyFont="1" applyFill="1" applyBorder="1"/>
    <xf numFmtId="3" fontId="7" fillId="0" borderId="1" xfId="0" applyNumberFormat="1" applyFont="1" applyBorder="1"/>
    <xf numFmtId="3" fontId="6" fillId="5" borderId="1" xfId="0" applyNumberFormat="1" applyFont="1" applyFill="1" applyBorder="1"/>
    <xf numFmtId="0" fontId="7" fillId="8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0" fillId="3" borderId="1" xfId="0" applyFill="1" applyBorder="1"/>
    <xf numFmtId="0" fontId="7" fillId="8" borderId="1" xfId="0" applyFont="1" applyFill="1" applyBorder="1"/>
    <xf numFmtId="164" fontId="0" fillId="0" borderId="1" xfId="0" applyNumberFormat="1" applyBorder="1"/>
    <xf numFmtId="164" fontId="6" fillId="3" borderId="1" xfId="0" applyNumberFormat="1" applyFont="1" applyFill="1" applyBorder="1"/>
    <xf numFmtId="10" fontId="0" fillId="3" borderId="1" xfId="0" applyNumberFormat="1" applyFill="1" applyBorder="1"/>
    <xf numFmtId="164" fontId="0" fillId="3" borderId="1" xfId="0" applyNumberFormat="1" applyFill="1" applyBorder="1"/>
    <xf numFmtId="3" fontId="6" fillId="3" borderId="1" xfId="0" applyNumberFormat="1" applyFont="1" applyFill="1" applyBorder="1"/>
    <xf numFmtId="0" fontId="7" fillId="11" borderId="1" xfId="0" applyFont="1" applyFill="1" applyBorder="1"/>
    <xf numFmtId="0" fontId="9" fillId="12" borderId="1" xfId="0" applyFont="1" applyFill="1" applyBorder="1"/>
    <xf numFmtId="0" fontId="9" fillId="13" borderId="1" xfId="0" applyFont="1" applyFill="1" applyBorder="1"/>
    <xf numFmtId="0" fontId="10" fillId="6" borderId="1" xfId="0" applyFont="1" applyFill="1" applyBorder="1"/>
    <xf numFmtId="0" fontId="5" fillId="0" borderId="0" xfId="0" applyFont="1"/>
    <xf numFmtId="0" fontId="7" fillId="0" borderId="0" xfId="0" applyFont="1"/>
    <xf numFmtId="0" fontId="11" fillId="14" borderId="0" xfId="0" applyFont="1" applyFill="1" applyAlignment="1">
      <alignment horizontal="center" vertical="center" wrapText="1"/>
    </xf>
    <xf numFmtId="3" fontId="6" fillId="4" borderId="2" xfId="0" applyNumberFormat="1" applyFont="1" applyFill="1" applyBorder="1"/>
    <xf numFmtId="0" fontId="0" fillId="16" borderId="1" xfId="0" applyFill="1" applyBorder="1"/>
    <xf numFmtId="3" fontId="6" fillId="17" borderId="1" xfId="0" applyNumberFormat="1" applyFont="1" applyFill="1" applyBorder="1"/>
    <xf numFmtId="3" fontId="7" fillId="16" borderId="1" xfId="0" applyNumberFormat="1" applyFont="1" applyFill="1" applyBorder="1"/>
    <xf numFmtId="0" fontId="12" fillId="15" borderId="3" xfId="1" applyFont="1" applyFill="1" applyBorder="1" applyAlignment="1">
      <alignment horizontal="left" vertical="center"/>
    </xf>
    <xf numFmtId="49" fontId="13" fillId="0" borderId="3" xfId="1" applyNumberFormat="1" applyFont="1" applyBorder="1" applyAlignment="1">
      <alignment horizontal="left" vertical="top" shrinkToFit="1" readingOrder="1"/>
    </xf>
    <xf numFmtId="49" fontId="13" fillId="0" borderId="3" xfId="1" applyNumberFormat="1" applyFont="1" applyBorder="1" applyAlignment="1">
      <alignment horizontal="left" vertical="top" shrinkToFit="1"/>
    </xf>
    <xf numFmtId="0" fontId="12" fillId="15" borderId="3" xfId="1" applyFont="1" applyFill="1" applyBorder="1" applyAlignment="1">
      <alignment horizontal="left" vertical="center"/>
    </xf>
    <xf numFmtId="49" fontId="13" fillId="0" borderId="3" xfId="1" applyNumberFormat="1" applyFont="1" applyBorder="1" applyAlignment="1">
      <alignment horizontal="left" vertical="top" shrinkToFit="1" readingOrder="1"/>
    </xf>
    <xf numFmtId="49" fontId="13" fillId="0" borderId="3" xfId="1" applyNumberFormat="1" applyFont="1" applyBorder="1" applyAlignment="1">
      <alignment horizontal="left" vertical="top" shrinkToFit="1"/>
    </xf>
    <xf numFmtId="0" fontId="12" fillId="15" borderId="3" xfId="1" applyFont="1" applyFill="1" applyBorder="1" applyAlignment="1">
      <alignment horizontal="left" vertical="center"/>
    </xf>
    <xf numFmtId="49" fontId="13" fillId="0" borderId="3" xfId="1" applyNumberFormat="1" applyFont="1" applyBorder="1" applyAlignment="1">
      <alignment horizontal="left" vertical="top" shrinkToFit="1" readingOrder="1"/>
    </xf>
    <xf numFmtId="49" fontId="13" fillId="0" borderId="3" xfId="1" applyNumberFormat="1" applyFont="1" applyBorder="1" applyAlignment="1">
      <alignment horizontal="left" vertical="top" shrinkToFit="1"/>
    </xf>
    <xf numFmtId="0" fontId="1" fillId="0" borderId="3" xfId="1" applyFont="1" applyBorder="1"/>
    <xf numFmtId="0" fontId="12" fillId="15" borderId="3" xfId="1" applyFont="1" applyFill="1" applyBorder="1" applyAlignment="1">
      <alignment horizontal="left" vertical="center"/>
    </xf>
    <xf numFmtId="49" fontId="13" fillId="0" borderId="3" xfId="1" applyNumberFormat="1" applyFont="1" applyBorder="1" applyAlignment="1">
      <alignment horizontal="left" vertical="top" shrinkToFit="1" readingOrder="1"/>
    </xf>
    <xf numFmtId="3" fontId="14" fillId="18" borderId="1" xfId="0" applyNumberFormat="1" applyFont="1" applyFill="1" applyBorder="1"/>
    <xf numFmtId="3" fontId="15" fillId="19" borderId="1" xfId="0" applyNumberFormat="1" applyFont="1" applyFill="1" applyBorder="1"/>
    <xf numFmtId="49" fontId="13" fillId="0" borderId="4" xfId="1" applyNumberFormat="1" applyFont="1" applyBorder="1" applyAlignment="1">
      <alignment horizontal="left" vertical="top" shrinkToFit="1"/>
    </xf>
    <xf numFmtId="0" fontId="1" fillId="0" borderId="4" xfId="1" applyFont="1" applyBorder="1"/>
    <xf numFmtId="0" fontId="16" fillId="19" borderId="1" xfId="0" applyFont="1" applyFill="1" applyBorder="1"/>
    <xf numFmtId="0" fontId="12" fillId="15" borderId="3" xfId="1" applyFont="1" applyFill="1" applyBorder="1" applyAlignment="1">
      <alignment horizontal="left" vertical="center"/>
    </xf>
    <xf numFmtId="49" fontId="13" fillId="0" borderId="3" xfId="1" applyNumberFormat="1" applyFont="1" applyBorder="1" applyAlignment="1">
      <alignment horizontal="left" vertical="top" shrinkToFit="1" readingOrder="1"/>
    </xf>
    <xf numFmtId="0" fontId="1" fillId="0" borderId="3" xfId="1" applyFont="1" applyBorder="1"/>
    <xf numFmtId="0" fontId="12" fillId="15" borderId="3" xfId="1" applyFont="1" applyFill="1" applyBorder="1" applyAlignment="1">
      <alignment horizontal="left" vertical="center"/>
    </xf>
    <xf numFmtId="49" fontId="13" fillId="0" borderId="3" xfId="1" applyNumberFormat="1" applyFont="1" applyBorder="1" applyAlignment="1">
      <alignment horizontal="left" vertical="top" shrinkToFit="1" readingOrder="1"/>
    </xf>
    <xf numFmtId="0" fontId="1" fillId="0" borderId="3" xfId="1" applyFont="1" applyBorder="1"/>
    <xf numFmtId="0" fontId="12" fillId="15" borderId="3" xfId="1" applyFont="1" applyFill="1" applyBorder="1" applyAlignment="1">
      <alignment horizontal="left" vertical="center"/>
    </xf>
    <xf numFmtId="49" fontId="13" fillId="0" borderId="3" xfId="1" applyNumberFormat="1" applyFont="1" applyBorder="1" applyAlignment="1">
      <alignment horizontal="left" vertical="top" shrinkToFit="1" readingOrder="1"/>
    </xf>
    <xf numFmtId="0" fontId="12" fillId="15" borderId="3" xfId="1" applyFont="1" applyFill="1" applyBorder="1" applyAlignment="1">
      <alignment horizontal="left" vertical="center"/>
    </xf>
    <xf numFmtId="0" fontId="1" fillId="0" borderId="3" xfId="1" applyFont="1" applyBorder="1"/>
    <xf numFmtId="0" fontId="12" fillId="15" borderId="3" xfId="1" applyFont="1" applyFill="1" applyBorder="1" applyAlignment="1">
      <alignment horizontal="left" vertical="center"/>
    </xf>
    <xf numFmtId="49" fontId="13" fillId="0" borderId="3" xfId="1" applyNumberFormat="1" applyFont="1" applyBorder="1" applyAlignment="1">
      <alignment horizontal="left" vertical="top" shrinkToFit="1" readingOrder="1"/>
    </xf>
    <xf numFmtId="0" fontId="12" fillId="15" borderId="3" xfId="1" applyFont="1" applyFill="1" applyBorder="1" applyAlignment="1">
      <alignment horizontal="left" vertical="center"/>
    </xf>
    <xf numFmtId="49" fontId="13" fillId="0" borderId="3" xfId="1" applyNumberFormat="1" applyFont="1" applyBorder="1" applyAlignment="1">
      <alignment horizontal="left" vertical="top" shrinkToFit="1" readingOrder="1"/>
    </xf>
    <xf numFmtId="0" fontId="1" fillId="0" borderId="3" xfId="1" applyFont="1" applyBorder="1"/>
    <xf numFmtId="0" fontId="12" fillId="15" borderId="3" xfId="1" applyFont="1" applyFill="1" applyBorder="1" applyAlignment="1">
      <alignment horizontal="left" vertical="center"/>
    </xf>
    <xf numFmtId="49" fontId="13" fillId="0" borderId="3" xfId="1" applyNumberFormat="1" applyFont="1" applyBorder="1" applyAlignment="1">
      <alignment horizontal="left" vertical="top" shrinkToFit="1" readingOrder="1"/>
    </xf>
    <xf numFmtId="0" fontId="12" fillId="15" borderId="3" xfId="1" applyFont="1" applyFill="1" applyBorder="1" applyAlignment="1">
      <alignment horizontal="left" vertical="center"/>
    </xf>
    <xf numFmtId="49" fontId="13" fillId="0" borderId="3" xfId="1" applyNumberFormat="1" applyFont="1" applyBorder="1" applyAlignment="1">
      <alignment horizontal="left" vertical="top" shrinkToFit="1" readingOrder="1"/>
    </xf>
    <xf numFmtId="0" fontId="12" fillId="15" borderId="3" xfId="1" applyFont="1" applyFill="1" applyBorder="1" applyAlignment="1">
      <alignment horizontal="left" vertical="center"/>
    </xf>
    <xf numFmtId="49" fontId="13" fillId="0" borderId="3" xfId="1" applyNumberFormat="1" applyFont="1" applyBorder="1" applyAlignment="1">
      <alignment horizontal="left" vertical="top" shrinkToFit="1" readingOrder="1"/>
    </xf>
    <xf numFmtId="0" fontId="12" fillId="15" borderId="3" xfId="1" applyFont="1" applyFill="1" applyBorder="1" applyAlignment="1">
      <alignment horizontal="left" vertical="center"/>
    </xf>
    <xf numFmtId="49" fontId="13" fillId="0" borderId="3" xfId="1" applyNumberFormat="1" applyFont="1" applyBorder="1" applyAlignment="1">
      <alignment horizontal="left" vertical="top" shrinkToFit="1" readingOrder="1"/>
    </xf>
    <xf numFmtId="49" fontId="13" fillId="0" borderId="3" xfId="1" applyNumberFormat="1" applyFont="1" applyBorder="1" applyAlignment="1">
      <alignment horizontal="left" vertical="top" shrinkToFit="1"/>
    </xf>
    <xf numFmtId="0" fontId="12" fillId="15" borderId="3" xfId="1" applyFont="1" applyFill="1" applyBorder="1" applyAlignment="1">
      <alignment horizontal="left" vertical="center"/>
    </xf>
    <xf numFmtId="49" fontId="13" fillId="0" borderId="3" xfId="1" applyNumberFormat="1" applyFont="1" applyBorder="1" applyAlignment="1">
      <alignment horizontal="left" vertical="top" shrinkToFit="1" readingOrder="1"/>
    </xf>
    <xf numFmtId="49" fontId="13" fillId="0" borderId="3" xfId="1" applyNumberFormat="1" applyFont="1" applyBorder="1" applyAlignment="1">
      <alignment horizontal="left" vertical="top" shrinkToFit="1"/>
    </xf>
    <xf numFmtId="0" fontId="12" fillId="15" borderId="3" xfId="1" applyFont="1" applyFill="1" applyBorder="1" applyAlignment="1">
      <alignment horizontal="left" vertical="center"/>
    </xf>
    <xf numFmtId="49" fontId="13" fillId="0" borderId="3" xfId="1" applyNumberFormat="1" applyFont="1" applyBorder="1" applyAlignment="1">
      <alignment horizontal="left" vertical="top" shrinkToFit="1" readingOrder="1"/>
    </xf>
    <xf numFmtId="49" fontId="13" fillId="0" borderId="3" xfId="1" applyNumberFormat="1" applyFont="1" applyBorder="1" applyAlignment="1">
      <alignment horizontal="left" vertical="top" shrinkToFit="1"/>
    </xf>
    <xf numFmtId="0" fontId="12" fillId="15" borderId="3" xfId="1" applyFont="1" applyFill="1" applyBorder="1" applyAlignment="1">
      <alignment horizontal="left" vertical="center"/>
    </xf>
    <xf numFmtId="49" fontId="13" fillId="0" borderId="3" xfId="1" applyNumberFormat="1" applyFont="1" applyBorder="1" applyAlignment="1">
      <alignment horizontal="left" vertical="top" shrinkToFit="1" readingOrder="1"/>
    </xf>
    <xf numFmtId="49" fontId="13" fillId="0" borderId="3" xfId="1" applyNumberFormat="1" applyFont="1" applyBorder="1" applyAlignment="1">
      <alignment horizontal="left" vertical="top" shrinkToFit="1"/>
    </xf>
    <xf numFmtId="0" fontId="1" fillId="0" borderId="3" xfId="1" applyFont="1" applyBorder="1"/>
    <xf numFmtId="0" fontId="12" fillId="15" borderId="3" xfId="1" applyFont="1" applyFill="1" applyBorder="1" applyAlignment="1">
      <alignment horizontal="left" vertical="center"/>
    </xf>
    <xf numFmtId="49" fontId="13" fillId="0" borderId="3" xfId="1" applyNumberFormat="1" applyFont="1" applyBorder="1" applyAlignment="1">
      <alignment horizontal="left" vertical="top" shrinkToFit="1"/>
    </xf>
    <xf numFmtId="0" fontId="12" fillId="15" borderId="3" xfId="1" applyFont="1" applyFill="1" applyBorder="1" applyAlignment="1">
      <alignment horizontal="left" vertical="center"/>
    </xf>
    <xf numFmtId="49" fontId="13" fillId="0" borderId="3" xfId="1" applyNumberFormat="1" applyFont="1" applyBorder="1" applyAlignment="1">
      <alignment horizontal="left" vertical="top" shrinkToFit="1" readingOrder="1"/>
    </xf>
    <xf numFmtId="49" fontId="13" fillId="0" borderId="3" xfId="1" applyNumberFormat="1" applyFont="1" applyBorder="1" applyAlignment="1">
      <alignment horizontal="left" vertical="top" shrinkToFit="1"/>
    </xf>
    <xf numFmtId="0" fontId="12" fillId="15" borderId="3" xfId="1" applyFont="1" applyFill="1" applyBorder="1" applyAlignment="1">
      <alignment horizontal="left" vertical="center"/>
    </xf>
    <xf numFmtId="49" fontId="13" fillId="0" borderId="3" xfId="1" applyNumberFormat="1" applyFont="1" applyBorder="1" applyAlignment="1">
      <alignment horizontal="left" vertical="top" shrinkToFit="1"/>
    </xf>
    <xf numFmtId="0" fontId="1" fillId="0" borderId="3" xfId="1" applyFont="1" applyBorder="1"/>
    <xf numFmtId="0" fontId="12" fillId="15" borderId="3" xfId="1" applyFont="1" applyFill="1" applyBorder="1" applyAlignment="1">
      <alignment horizontal="left" vertical="center"/>
    </xf>
    <xf numFmtId="49" fontId="13" fillId="0" borderId="3" xfId="1" applyNumberFormat="1" applyFont="1" applyBorder="1" applyAlignment="1">
      <alignment horizontal="left" vertical="top" shrinkToFit="1"/>
    </xf>
    <xf numFmtId="0" fontId="12" fillId="15" borderId="3" xfId="1" applyFont="1" applyFill="1" applyBorder="1" applyAlignment="1">
      <alignment horizontal="left" vertical="center"/>
    </xf>
    <xf numFmtId="49" fontId="13" fillId="0" borderId="3" xfId="1" applyNumberFormat="1" applyFont="1" applyBorder="1" applyAlignment="1">
      <alignment horizontal="left" vertical="top" shrinkToFit="1" readingOrder="1"/>
    </xf>
    <xf numFmtId="49" fontId="13" fillId="0" borderId="3" xfId="1" applyNumberFormat="1" applyFont="1" applyBorder="1" applyAlignment="1">
      <alignment horizontal="left" vertical="top" shrinkToFit="1"/>
    </xf>
    <xf numFmtId="0" fontId="1" fillId="0" borderId="3" xfId="1" applyFont="1" applyBorder="1"/>
    <xf numFmtId="49" fontId="1" fillId="0" borderId="3" xfId="1" applyNumberFormat="1" applyFont="1" applyBorder="1"/>
    <xf numFmtId="49" fontId="13" fillId="0" borderId="4" xfId="1" applyNumberFormat="1" applyFont="1" applyBorder="1" applyAlignment="1">
      <alignment horizontal="left" vertical="top" shrinkToFit="1" readingOrder="1"/>
    </xf>
    <xf numFmtId="0" fontId="12" fillId="15" borderId="4" xfId="1" applyFont="1" applyFill="1" applyBorder="1" applyAlignment="1">
      <alignment horizontal="left" vertical="center"/>
    </xf>
    <xf numFmtId="49" fontId="1" fillId="0" borderId="4" xfId="1" applyNumberFormat="1" applyFont="1" applyBorder="1"/>
  </cellXfs>
  <cellStyles count="2">
    <cellStyle name="Normal" xfId="0" builtinId="0"/>
    <cellStyle name="Normal 2" xfId="1" xr:uid="{42A3F4AA-0CD1-4270-84FD-08B8F347D9E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FFE0"/>
      <rgbColor rgb="FFFFE0E0"/>
      <rgbColor rgb="FF99CCFF"/>
      <rgbColor rgb="FFFF99CC"/>
      <rgbColor rgb="FFCC99FF"/>
      <rgbColor rgb="FFFFCCCC"/>
      <rgbColor rgb="FF4472C4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S63"/>
  <sheetViews>
    <sheetView zoomScaleNormal="100" workbookViewId="0">
      <pane ySplit="3" topLeftCell="A4" activePane="bottomLeft" state="frozen"/>
      <selection pane="bottomLeft" activeCell="E4" sqref="E4"/>
    </sheetView>
  </sheetViews>
  <sheetFormatPr defaultColWidth="8.6640625" defaultRowHeight="14.4" x14ac:dyDescent="0.3"/>
  <cols>
    <col min="1" max="1" width="30" customWidth="1"/>
    <col min="2" max="2" width="15" customWidth="1"/>
    <col min="3" max="3" width="8" customWidth="1"/>
    <col min="4" max="4" width="15" customWidth="1"/>
    <col min="5" max="10" width="10" customWidth="1"/>
    <col min="11" max="12" width="12" customWidth="1"/>
    <col min="13" max="13" width="15" customWidth="1"/>
    <col min="14" max="14" width="10" customWidth="1"/>
    <col min="15" max="15" width="14" customWidth="1"/>
    <col min="16" max="16" width="10" customWidth="1"/>
    <col min="17" max="18" width="14" customWidth="1"/>
    <col min="19" max="19" width="16" customWidth="1"/>
  </cols>
  <sheetData>
    <row r="1" spans="1:19" ht="16.2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39.6" x14ac:dyDescent="0.3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10</v>
      </c>
      <c r="J3" s="15" t="s">
        <v>11</v>
      </c>
      <c r="K3" s="15" t="s">
        <v>12</v>
      </c>
      <c r="L3" s="15" t="s">
        <v>13</v>
      </c>
      <c r="M3" s="15" t="s">
        <v>14</v>
      </c>
      <c r="N3" s="15" t="s">
        <v>15</v>
      </c>
      <c r="O3" s="15" t="s">
        <v>16</v>
      </c>
      <c r="P3" s="15" t="s">
        <v>17</v>
      </c>
      <c r="Q3" s="15" t="s">
        <v>18</v>
      </c>
      <c r="R3" s="15" t="s">
        <v>19</v>
      </c>
      <c r="S3" s="15" t="s">
        <v>20</v>
      </c>
    </row>
    <row r="4" spans="1:19" x14ac:dyDescent="0.3">
      <c r="A4" s="16" t="s">
        <v>21</v>
      </c>
      <c r="B4" s="16" t="s">
        <v>22</v>
      </c>
      <c r="C4" s="16" t="s">
        <v>23</v>
      </c>
      <c r="D4" s="17">
        <v>520</v>
      </c>
      <c r="E4" s="18"/>
      <c r="F4" s="18"/>
      <c r="G4" s="18"/>
      <c r="H4" s="18"/>
      <c r="I4" s="18"/>
      <c r="J4" s="18"/>
      <c r="K4" s="19">
        <f t="shared" ref="K4:K35" si="0">IF(J4&lt;&gt;"",J4,IF(I4&lt;&gt;"",I4,IF(H4&lt;&gt;"",H4,G4)))</f>
        <v>0</v>
      </c>
      <c r="L4" s="19">
        <f t="shared" ref="L4:L35" si="1">IF(AND(E4&lt;&gt;"",F4&lt;&gt;"",K4&lt;&gt;""),E4+F4-K4,0)</f>
        <v>0</v>
      </c>
      <c r="M4" s="20">
        <f t="shared" ref="M4:M35" si="2">L4*D4</f>
        <v>0</v>
      </c>
      <c r="N4" s="21"/>
      <c r="O4" s="20">
        <f t="shared" ref="O4:O35" si="3">IF(N4="",0,N4*D4)</f>
        <v>0</v>
      </c>
      <c r="P4" s="22"/>
      <c r="Q4" s="20">
        <f t="shared" ref="Q4:Q35" si="4">IF(P4="",0,P4*D4)</f>
        <v>0</v>
      </c>
      <c r="R4" s="23">
        <f t="shared" ref="R4:R35" si="5">L4-IF(N4="",0,N4)-IF(P4="",0,P4)</f>
        <v>0</v>
      </c>
      <c r="S4" s="20">
        <f t="shared" ref="S4:S35" si="6">R4*D4</f>
        <v>0</v>
      </c>
    </row>
    <row r="5" spans="1:19" x14ac:dyDescent="0.3">
      <c r="A5" s="16" t="s">
        <v>24</v>
      </c>
      <c r="B5" s="16" t="s">
        <v>22</v>
      </c>
      <c r="C5" s="16" t="s">
        <v>23</v>
      </c>
      <c r="D5" s="17">
        <v>450</v>
      </c>
      <c r="E5" s="18"/>
      <c r="F5" s="18"/>
      <c r="G5" s="18"/>
      <c r="H5" s="18"/>
      <c r="I5" s="18"/>
      <c r="J5" s="18"/>
      <c r="K5" s="19">
        <f t="shared" si="0"/>
        <v>0</v>
      </c>
      <c r="L5" s="19">
        <f t="shared" si="1"/>
        <v>0</v>
      </c>
      <c r="M5" s="20">
        <f t="shared" si="2"/>
        <v>0</v>
      </c>
      <c r="N5" s="21"/>
      <c r="O5" s="20">
        <f t="shared" si="3"/>
        <v>0</v>
      </c>
      <c r="P5" s="22"/>
      <c r="Q5" s="20">
        <f t="shared" si="4"/>
        <v>0</v>
      </c>
      <c r="R5" s="23">
        <f t="shared" si="5"/>
        <v>0</v>
      </c>
      <c r="S5" s="20">
        <f t="shared" si="6"/>
        <v>0</v>
      </c>
    </row>
    <row r="6" spans="1:19" x14ac:dyDescent="0.3">
      <c r="A6" s="16" t="s">
        <v>25</v>
      </c>
      <c r="B6" s="16" t="s">
        <v>22</v>
      </c>
      <c r="C6" s="16" t="s">
        <v>23</v>
      </c>
      <c r="D6" s="17">
        <v>380</v>
      </c>
      <c r="E6" s="18"/>
      <c r="F6" s="18"/>
      <c r="G6" s="18"/>
      <c r="H6" s="18"/>
      <c r="I6" s="18"/>
      <c r="J6" s="18"/>
      <c r="K6" s="19">
        <f t="shared" si="0"/>
        <v>0</v>
      </c>
      <c r="L6" s="19">
        <f t="shared" si="1"/>
        <v>0</v>
      </c>
      <c r="M6" s="20">
        <f t="shared" si="2"/>
        <v>0</v>
      </c>
      <c r="N6" s="21"/>
      <c r="O6" s="20">
        <f t="shared" si="3"/>
        <v>0</v>
      </c>
      <c r="P6" s="22"/>
      <c r="Q6" s="20">
        <f t="shared" si="4"/>
        <v>0</v>
      </c>
      <c r="R6" s="23">
        <f t="shared" si="5"/>
        <v>0</v>
      </c>
      <c r="S6" s="20">
        <f t="shared" si="6"/>
        <v>0</v>
      </c>
    </row>
    <row r="7" spans="1:19" x14ac:dyDescent="0.3">
      <c r="A7" s="16" t="s">
        <v>26</v>
      </c>
      <c r="B7" s="16" t="s">
        <v>22</v>
      </c>
      <c r="C7" s="16" t="s">
        <v>27</v>
      </c>
      <c r="D7" s="17">
        <v>42</v>
      </c>
      <c r="E7" s="18"/>
      <c r="F7" s="18"/>
      <c r="G7" s="18"/>
      <c r="H7" s="18"/>
      <c r="I7" s="18"/>
      <c r="J7" s="18"/>
      <c r="K7" s="19">
        <f t="shared" si="0"/>
        <v>0</v>
      </c>
      <c r="L7" s="19">
        <f t="shared" si="1"/>
        <v>0</v>
      </c>
      <c r="M7" s="20">
        <f t="shared" si="2"/>
        <v>0</v>
      </c>
      <c r="N7" s="21"/>
      <c r="O7" s="20">
        <f t="shared" si="3"/>
        <v>0</v>
      </c>
      <c r="P7" s="22"/>
      <c r="Q7" s="20">
        <f t="shared" si="4"/>
        <v>0</v>
      </c>
      <c r="R7" s="23">
        <f t="shared" si="5"/>
        <v>0</v>
      </c>
      <c r="S7" s="20">
        <f t="shared" si="6"/>
        <v>0</v>
      </c>
    </row>
    <row r="8" spans="1:19" x14ac:dyDescent="0.3">
      <c r="A8" s="16" t="s">
        <v>28</v>
      </c>
      <c r="B8" s="16" t="s">
        <v>22</v>
      </c>
      <c r="C8" s="16" t="s">
        <v>27</v>
      </c>
      <c r="D8" s="17">
        <v>85</v>
      </c>
      <c r="E8" s="18"/>
      <c r="F8" s="18"/>
      <c r="G8" s="18"/>
      <c r="H8" s="18"/>
      <c r="I8" s="18"/>
      <c r="J8" s="18"/>
      <c r="K8" s="19">
        <f t="shared" si="0"/>
        <v>0</v>
      </c>
      <c r="L8" s="19">
        <f t="shared" si="1"/>
        <v>0</v>
      </c>
      <c r="M8" s="20">
        <f t="shared" si="2"/>
        <v>0</v>
      </c>
      <c r="N8" s="21"/>
      <c r="O8" s="20">
        <f t="shared" si="3"/>
        <v>0</v>
      </c>
      <c r="P8" s="22"/>
      <c r="Q8" s="20">
        <f t="shared" si="4"/>
        <v>0</v>
      </c>
      <c r="R8" s="23">
        <f t="shared" si="5"/>
        <v>0</v>
      </c>
      <c r="S8" s="20">
        <f t="shared" si="6"/>
        <v>0</v>
      </c>
    </row>
    <row r="9" spans="1:19" x14ac:dyDescent="0.3">
      <c r="A9" s="16" t="s">
        <v>29</v>
      </c>
      <c r="B9" s="16" t="s">
        <v>22</v>
      </c>
      <c r="C9" s="16" t="s">
        <v>27</v>
      </c>
      <c r="D9" s="17">
        <v>90</v>
      </c>
      <c r="E9" s="18"/>
      <c r="F9" s="18"/>
      <c r="G9" s="18"/>
      <c r="H9" s="18"/>
      <c r="I9" s="18"/>
      <c r="J9" s="18"/>
      <c r="K9" s="19">
        <f t="shared" si="0"/>
        <v>0</v>
      </c>
      <c r="L9" s="19">
        <f t="shared" si="1"/>
        <v>0</v>
      </c>
      <c r="M9" s="20">
        <f t="shared" si="2"/>
        <v>0</v>
      </c>
      <c r="N9" s="21"/>
      <c r="O9" s="20">
        <f t="shared" si="3"/>
        <v>0</v>
      </c>
      <c r="P9" s="22"/>
      <c r="Q9" s="20">
        <f t="shared" si="4"/>
        <v>0</v>
      </c>
      <c r="R9" s="23">
        <f t="shared" si="5"/>
        <v>0</v>
      </c>
      <c r="S9" s="20">
        <f t="shared" si="6"/>
        <v>0</v>
      </c>
    </row>
    <row r="10" spans="1:19" x14ac:dyDescent="0.3">
      <c r="A10" s="16" t="s">
        <v>30</v>
      </c>
      <c r="B10" s="16" t="s">
        <v>22</v>
      </c>
      <c r="C10" s="16" t="s">
        <v>23</v>
      </c>
      <c r="D10" s="17">
        <v>280</v>
      </c>
      <c r="E10" s="18"/>
      <c r="F10" s="18"/>
      <c r="G10" s="18"/>
      <c r="H10" s="18"/>
      <c r="I10" s="18"/>
      <c r="J10" s="18"/>
      <c r="K10" s="19">
        <f t="shared" si="0"/>
        <v>0</v>
      </c>
      <c r="L10" s="19">
        <f t="shared" si="1"/>
        <v>0</v>
      </c>
      <c r="M10" s="20">
        <f t="shared" si="2"/>
        <v>0</v>
      </c>
      <c r="N10" s="21"/>
      <c r="O10" s="20">
        <f t="shared" si="3"/>
        <v>0</v>
      </c>
      <c r="P10" s="22"/>
      <c r="Q10" s="20">
        <f t="shared" si="4"/>
        <v>0</v>
      </c>
      <c r="R10" s="23">
        <f t="shared" si="5"/>
        <v>0</v>
      </c>
      <c r="S10" s="20">
        <f t="shared" si="6"/>
        <v>0</v>
      </c>
    </row>
    <row r="11" spans="1:19" x14ac:dyDescent="0.3">
      <c r="A11" s="16" t="s">
        <v>31</v>
      </c>
      <c r="B11" s="16" t="s">
        <v>22</v>
      </c>
      <c r="C11" s="16" t="s">
        <v>27</v>
      </c>
      <c r="D11" s="17">
        <v>320</v>
      </c>
      <c r="E11" s="18"/>
      <c r="F11" s="18"/>
      <c r="G11" s="18"/>
      <c r="H11" s="18"/>
      <c r="I11" s="18"/>
      <c r="J11" s="18"/>
      <c r="K11" s="19">
        <f t="shared" si="0"/>
        <v>0</v>
      </c>
      <c r="L11" s="19">
        <f t="shared" si="1"/>
        <v>0</v>
      </c>
      <c r="M11" s="20">
        <f t="shared" si="2"/>
        <v>0</v>
      </c>
      <c r="N11" s="21"/>
      <c r="O11" s="20">
        <f t="shared" si="3"/>
        <v>0</v>
      </c>
      <c r="P11" s="22"/>
      <c r="Q11" s="20">
        <f t="shared" si="4"/>
        <v>0</v>
      </c>
      <c r="R11" s="23">
        <f t="shared" si="5"/>
        <v>0</v>
      </c>
      <c r="S11" s="20">
        <f t="shared" si="6"/>
        <v>0</v>
      </c>
    </row>
    <row r="12" spans="1:19" x14ac:dyDescent="0.3">
      <c r="A12" s="16" t="s">
        <v>32</v>
      </c>
      <c r="B12" s="16" t="s">
        <v>22</v>
      </c>
      <c r="C12" s="16" t="s">
        <v>23</v>
      </c>
      <c r="D12" s="17">
        <v>250</v>
      </c>
      <c r="E12" s="18"/>
      <c r="F12" s="18"/>
      <c r="G12" s="18"/>
      <c r="H12" s="18"/>
      <c r="I12" s="18"/>
      <c r="J12" s="18"/>
      <c r="K12" s="19">
        <f t="shared" si="0"/>
        <v>0</v>
      </c>
      <c r="L12" s="19">
        <f t="shared" si="1"/>
        <v>0</v>
      </c>
      <c r="M12" s="20">
        <f t="shared" si="2"/>
        <v>0</v>
      </c>
      <c r="N12" s="21"/>
      <c r="O12" s="20">
        <f t="shared" si="3"/>
        <v>0</v>
      </c>
      <c r="P12" s="22"/>
      <c r="Q12" s="20">
        <f t="shared" si="4"/>
        <v>0</v>
      </c>
      <c r="R12" s="23">
        <f t="shared" si="5"/>
        <v>0</v>
      </c>
      <c r="S12" s="20">
        <f t="shared" si="6"/>
        <v>0</v>
      </c>
    </row>
    <row r="13" spans="1:19" x14ac:dyDescent="0.3">
      <c r="A13" s="16" t="s">
        <v>33</v>
      </c>
      <c r="B13" s="16" t="s">
        <v>22</v>
      </c>
      <c r="C13" s="16" t="s">
        <v>27</v>
      </c>
      <c r="D13" s="17">
        <v>45</v>
      </c>
      <c r="E13" s="18"/>
      <c r="F13" s="18"/>
      <c r="G13" s="18"/>
      <c r="H13" s="18"/>
      <c r="I13" s="18"/>
      <c r="J13" s="18"/>
      <c r="K13" s="19">
        <f t="shared" si="0"/>
        <v>0</v>
      </c>
      <c r="L13" s="19">
        <f t="shared" si="1"/>
        <v>0</v>
      </c>
      <c r="M13" s="20">
        <f t="shared" si="2"/>
        <v>0</v>
      </c>
      <c r="N13" s="21"/>
      <c r="O13" s="20">
        <f t="shared" si="3"/>
        <v>0</v>
      </c>
      <c r="P13" s="22"/>
      <c r="Q13" s="20">
        <f t="shared" si="4"/>
        <v>0</v>
      </c>
      <c r="R13" s="23">
        <f t="shared" si="5"/>
        <v>0</v>
      </c>
      <c r="S13" s="20">
        <f t="shared" si="6"/>
        <v>0</v>
      </c>
    </row>
    <row r="14" spans="1:19" x14ac:dyDescent="0.3">
      <c r="A14" s="16" t="s">
        <v>34</v>
      </c>
      <c r="B14" s="16" t="s">
        <v>22</v>
      </c>
      <c r="C14" s="16" t="s">
        <v>23</v>
      </c>
      <c r="D14" s="17">
        <v>180</v>
      </c>
      <c r="E14" s="18"/>
      <c r="F14" s="18"/>
      <c r="G14" s="18"/>
      <c r="H14" s="18"/>
      <c r="I14" s="18"/>
      <c r="J14" s="18"/>
      <c r="K14" s="19">
        <f t="shared" si="0"/>
        <v>0</v>
      </c>
      <c r="L14" s="19">
        <f t="shared" si="1"/>
        <v>0</v>
      </c>
      <c r="M14" s="20">
        <f t="shared" si="2"/>
        <v>0</v>
      </c>
      <c r="N14" s="21"/>
      <c r="O14" s="20">
        <f t="shared" si="3"/>
        <v>0</v>
      </c>
      <c r="P14" s="22"/>
      <c r="Q14" s="20">
        <f t="shared" si="4"/>
        <v>0</v>
      </c>
      <c r="R14" s="23">
        <f t="shared" si="5"/>
        <v>0</v>
      </c>
      <c r="S14" s="20">
        <f t="shared" si="6"/>
        <v>0</v>
      </c>
    </row>
    <row r="15" spans="1:19" x14ac:dyDescent="0.3">
      <c r="A15" s="16" t="s">
        <v>35</v>
      </c>
      <c r="B15" s="16" t="s">
        <v>22</v>
      </c>
      <c r="C15" s="16" t="s">
        <v>27</v>
      </c>
      <c r="D15" s="17">
        <v>120</v>
      </c>
      <c r="E15" s="18"/>
      <c r="F15" s="18"/>
      <c r="G15" s="18"/>
      <c r="H15" s="18"/>
      <c r="I15" s="18"/>
      <c r="J15" s="18"/>
      <c r="K15" s="19">
        <f t="shared" si="0"/>
        <v>0</v>
      </c>
      <c r="L15" s="19">
        <f t="shared" si="1"/>
        <v>0</v>
      </c>
      <c r="M15" s="20">
        <f t="shared" si="2"/>
        <v>0</v>
      </c>
      <c r="N15" s="21"/>
      <c r="O15" s="20">
        <f t="shared" si="3"/>
        <v>0</v>
      </c>
      <c r="P15" s="22"/>
      <c r="Q15" s="20">
        <f t="shared" si="4"/>
        <v>0</v>
      </c>
      <c r="R15" s="23">
        <f t="shared" si="5"/>
        <v>0</v>
      </c>
      <c r="S15" s="20">
        <f t="shared" si="6"/>
        <v>0</v>
      </c>
    </row>
    <row r="16" spans="1:19" x14ac:dyDescent="0.3">
      <c r="A16" s="16" t="s">
        <v>36</v>
      </c>
      <c r="B16" s="16" t="s">
        <v>22</v>
      </c>
      <c r="C16" s="16" t="s">
        <v>27</v>
      </c>
      <c r="D16" s="17">
        <v>120</v>
      </c>
      <c r="E16" s="18"/>
      <c r="F16" s="18"/>
      <c r="G16" s="18"/>
      <c r="H16" s="18"/>
      <c r="I16" s="18"/>
      <c r="J16" s="18"/>
      <c r="K16" s="19">
        <f t="shared" si="0"/>
        <v>0</v>
      </c>
      <c r="L16" s="19">
        <f t="shared" si="1"/>
        <v>0</v>
      </c>
      <c r="M16" s="20">
        <f t="shared" si="2"/>
        <v>0</v>
      </c>
      <c r="N16" s="21"/>
      <c r="O16" s="20">
        <f t="shared" si="3"/>
        <v>0</v>
      </c>
      <c r="P16" s="22"/>
      <c r="Q16" s="20">
        <f t="shared" si="4"/>
        <v>0</v>
      </c>
      <c r="R16" s="23">
        <f t="shared" si="5"/>
        <v>0</v>
      </c>
      <c r="S16" s="20">
        <f t="shared" si="6"/>
        <v>0</v>
      </c>
    </row>
    <row r="17" spans="1:19" x14ac:dyDescent="0.3">
      <c r="A17" s="16" t="s">
        <v>37</v>
      </c>
      <c r="B17" s="16" t="s">
        <v>22</v>
      </c>
      <c r="C17" s="16" t="s">
        <v>27</v>
      </c>
      <c r="D17" s="17">
        <v>120</v>
      </c>
      <c r="E17" s="18"/>
      <c r="F17" s="18"/>
      <c r="G17" s="18"/>
      <c r="H17" s="18"/>
      <c r="I17" s="18"/>
      <c r="J17" s="18"/>
      <c r="K17" s="19">
        <f t="shared" si="0"/>
        <v>0</v>
      </c>
      <c r="L17" s="19">
        <f t="shared" si="1"/>
        <v>0</v>
      </c>
      <c r="M17" s="20">
        <f t="shared" si="2"/>
        <v>0</v>
      </c>
      <c r="N17" s="21"/>
      <c r="O17" s="20">
        <f t="shared" si="3"/>
        <v>0</v>
      </c>
      <c r="P17" s="22"/>
      <c r="Q17" s="20">
        <f t="shared" si="4"/>
        <v>0</v>
      </c>
      <c r="R17" s="23">
        <f t="shared" si="5"/>
        <v>0</v>
      </c>
      <c r="S17" s="20">
        <f t="shared" si="6"/>
        <v>0</v>
      </c>
    </row>
    <row r="18" spans="1:19" x14ac:dyDescent="0.3">
      <c r="A18" s="16" t="s">
        <v>38</v>
      </c>
      <c r="B18" s="16" t="s">
        <v>22</v>
      </c>
      <c r="C18" s="16" t="s">
        <v>27</v>
      </c>
      <c r="D18" s="17">
        <v>95</v>
      </c>
      <c r="E18" s="18"/>
      <c r="F18" s="18"/>
      <c r="G18" s="18"/>
      <c r="H18" s="18"/>
      <c r="I18" s="18"/>
      <c r="J18" s="18"/>
      <c r="K18" s="19">
        <f t="shared" si="0"/>
        <v>0</v>
      </c>
      <c r="L18" s="19">
        <f t="shared" si="1"/>
        <v>0</v>
      </c>
      <c r="M18" s="20">
        <f t="shared" si="2"/>
        <v>0</v>
      </c>
      <c r="N18" s="21"/>
      <c r="O18" s="20">
        <f t="shared" si="3"/>
        <v>0</v>
      </c>
      <c r="P18" s="22"/>
      <c r="Q18" s="20">
        <f t="shared" si="4"/>
        <v>0</v>
      </c>
      <c r="R18" s="23">
        <f t="shared" si="5"/>
        <v>0</v>
      </c>
      <c r="S18" s="20">
        <f t="shared" si="6"/>
        <v>0</v>
      </c>
    </row>
    <row r="19" spans="1:19" x14ac:dyDescent="0.3">
      <c r="A19" s="16" t="s">
        <v>39</v>
      </c>
      <c r="B19" s="16" t="s">
        <v>22</v>
      </c>
      <c r="C19" s="16" t="s">
        <v>27</v>
      </c>
      <c r="D19" s="17">
        <v>65</v>
      </c>
      <c r="E19" s="18"/>
      <c r="F19" s="18"/>
      <c r="G19" s="18"/>
      <c r="H19" s="18"/>
      <c r="I19" s="18"/>
      <c r="J19" s="18"/>
      <c r="K19" s="19">
        <f t="shared" si="0"/>
        <v>0</v>
      </c>
      <c r="L19" s="19">
        <f t="shared" si="1"/>
        <v>0</v>
      </c>
      <c r="M19" s="20">
        <f t="shared" si="2"/>
        <v>0</v>
      </c>
      <c r="N19" s="21"/>
      <c r="O19" s="20">
        <f t="shared" si="3"/>
        <v>0</v>
      </c>
      <c r="P19" s="22"/>
      <c r="Q19" s="20">
        <f t="shared" si="4"/>
        <v>0</v>
      </c>
      <c r="R19" s="23">
        <f t="shared" si="5"/>
        <v>0</v>
      </c>
      <c r="S19" s="20">
        <f t="shared" si="6"/>
        <v>0</v>
      </c>
    </row>
    <row r="20" spans="1:19" x14ac:dyDescent="0.3">
      <c r="A20" s="16" t="s">
        <v>40</v>
      </c>
      <c r="B20" s="16" t="s">
        <v>41</v>
      </c>
      <c r="C20" s="16" t="s">
        <v>42</v>
      </c>
      <c r="D20" s="17">
        <v>95</v>
      </c>
      <c r="E20" s="18"/>
      <c r="F20" s="18"/>
      <c r="G20" s="18"/>
      <c r="H20" s="18"/>
      <c r="I20" s="18"/>
      <c r="J20" s="18"/>
      <c r="K20" s="19">
        <f t="shared" si="0"/>
        <v>0</v>
      </c>
      <c r="L20" s="19">
        <f t="shared" si="1"/>
        <v>0</v>
      </c>
      <c r="M20" s="20">
        <f t="shared" si="2"/>
        <v>0</v>
      </c>
      <c r="N20" s="21"/>
      <c r="O20" s="20">
        <f t="shared" si="3"/>
        <v>0</v>
      </c>
      <c r="P20" s="22"/>
      <c r="Q20" s="20">
        <f t="shared" si="4"/>
        <v>0</v>
      </c>
      <c r="R20" s="23">
        <f t="shared" si="5"/>
        <v>0</v>
      </c>
      <c r="S20" s="20">
        <f t="shared" si="6"/>
        <v>0</v>
      </c>
    </row>
    <row r="21" spans="1:19" x14ac:dyDescent="0.3">
      <c r="A21" s="16" t="s">
        <v>43</v>
      </c>
      <c r="B21" s="16" t="s">
        <v>41</v>
      </c>
      <c r="C21" s="16" t="s">
        <v>42</v>
      </c>
      <c r="D21" s="17">
        <v>115</v>
      </c>
      <c r="E21" s="18"/>
      <c r="F21" s="18"/>
      <c r="G21" s="18"/>
      <c r="H21" s="18"/>
      <c r="I21" s="18"/>
      <c r="J21" s="18"/>
      <c r="K21" s="19">
        <f t="shared" si="0"/>
        <v>0</v>
      </c>
      <c r="L21" s="19">
        <f t="shared" si="1"/>
        <v>0</v>
      </c>
      <c r="M21" s="20">
        <f t="shared" si="2"/>
        <v>0</v>
      </c>
      <c r="N21" s="21"/>
      <c r="O21" s="20">
        <f t="shared" si="3"/>
        <v>0</v>
      </c>
      <c r="P21" s="22"/>
      <c r="Q21" s="20">
        <f t="shared" si="4"/>
        <v>0</v>
      </c>
      <c r="R21" s="23">
        <f t="shared" si="5"/>
        <v>0</v>
      </c>
      <c r="S21" s="20">
        <f t="shared" si="6"/>
        <v>0</v>
      </c>
    </row>
    <row r="22" spans="1:19" x14ac:dyDescent="0.3">
      <c r="A22" s="16" t="s">
        <v>44</v>
      </c>
      <c r="B22" s="16" t="s">
        <v>41</v>
      </c>
      <c r="C22" s="16" t="s">
        <v>42</v>
      </c>
      <c r="D22" s="17">
        <v>130</v>
      </c>
      <c r="E22" s="18"/>
      <c r="F22" s="18"/>
      <c r="G22" s="18"/>
      <c r="H22" s="18"/>
      <c r="I22" s="18"/>
      <c r="J22" s="18"/>
      <c r="K22" s="19">
        <f t="shared" si="0"/>
        <v>0</v>
      </c>
      <c r="L22" s="19">
        <f t="shared" si="1"/>
        <v>0</v>
      </c>
      <c r="M22" s="20">
        <f t="shared" si="2"/>
        <v>0</v>
      </c>
      <c r="N22" s="21"/>
      <c r="O22" s="20">
        <f t="shared" si="3"/>
        <v>0</v>
      </c>
      <c r="P22" s="22"/>
      <c r="Q22" s="20">
        <f t="shared" si="4"/>
        <v>0</v>
      </c>
      <c r="R22" s="23">
        <f t="shared" si="5"/>
        <v>0</v>
      </c>
      <c r="S22" s="20">
        <f t="shared" si="6"/>
        <v>0</v>
      </c>
    </row>
    <row r="23" spans="1:19" x14ac:dyDescent="0.3">
      <c r="A23" s="16" t="s">
        <v>45</v>
      </c>
      <c r="B23" s="16" t="s">
        <v>41</v>
      </c>
      <c r="C23" s="16" t="s">
        <v>42</v>
      </c>
      <c r="D23" s="17">
        <v>310</v>
      </c>
      <c r="E23" s="18"/>
      <c r="F23" s="18"/>
      <c r="G23" s="18"/>
      <c r="H23" s="18"/>
      <c r="I23" s="18"/>
      <c r="J23" s="18"/>
      <c r="K23" s="19">
        <f t="shared" si="0"/>
        <v>0</v>
      </c>
      <c r="L23" s="19">
        <f t="shared" si="1"/>
        <v>0</v>
      </c>
      <c r="M23" s="20">
        <f t="shared" si="2"/>
        <v>0</v>
      </c>
      <c r="N23" s="21"/>
      <c r="O23" s="20">
        <f t="shared" si="3"/>
        <v>0</v>
      </c>
      <c r="P23" s="22"/>
      <c r="Q23" s="20">
        <f t="shared" si="4"/>
        <v>0</v>
      </c>
      <c r="R23" s="23">
        <f t="shared" si="5"/>
        <v>0</v>
      </c>
      <c r="S23" s="20">
        <f t="shared" si="6"/>
        <v>0</v>
      </c>
    </row>
    <row r="24" spans="1:19" x14ac:dyDescent="0.3">
      <c r="A24" s="16" t="s">
        <v>46</v>
      </c>
      <c r="B24" s="16" t="s">
        <v>41</v>
      </c>
      <c r="C24" s="16" t="s">
        <v>42</v>
      </c>
      <c r="D24" s="17">
        <v>310</v>
      </c>
      <c r="E24" s="18"/>
      <c r="F24" s="18"/>
      <c r="G24" s="18"/>
      <c r="H24" s="18"/>
      <c r="I24" s="18"/>
      <c r="J24" s="18"/>
      <c r="K24" s="19">
        <f t="shared" si="0"/>
        <v>0</v>
      </c>
      <c r="L24" s="19">
        <f t="shared" si="1"/>
        <v>0</v>
      </c>
      <c r="M24" s="20">
        <f t="shared" si="2"/>
        <v>0</v>
      </c>
      <c r="N24" s="21"/>
      <c r="O24" s="20">
        <f t="shared" si="3"/>
        <v>0</v>
      </c>
      <c r="P24" s="22"/>
      <c r="Q24" s="20">
        <f t="shared" si="4"/>
        <v>0</v>
      </c>
      <c r="R24" s="23">
        <f t="shared" si="5"/>
        <v>0</v>
      </c>
      <c r="S24" s="20">
        <f t="shared" si="6"/>
        <v>0</v>
      </c>
    </row>
    <row r="25" spans="1:19" x14ac:dyDescent="0.3">
      <c r="A25" s="16" t="s">
        <v>47</v>
      </c>
      <c r="B25" s="16" t="s">
        <v>41</v>
      </c>
      <c r="C25" s="16" t="s">
        <v>42</v>
      </c>
      <c r="D25" s="17">
        <v>175</v>
      </c>
      <c r="E25" s="18"/>
      <c r="F25" s="18"/>
      <c r="G25" s="18"/>
      <c r="H25" s="18"/>
      <c r="I25" s="18"/>
      <c r="J25" s="18"/>
      <c r="K25" s="19">
        <f t="shared" si="0"/>
        <v>0</v>
      </c>
      <c r="L25" s="19">
        <f t="shared" si="1"/>
        <v>0</v>
      </c>
      <c r="M25" s="20">
        <f t="shared" si="2"/>
        <v>0</v>
      </c>
      <c r="N25" s="21"/>
      <c r="O25" s="20">
        <f t="shared" si="3"/>
        <v>0</v>
      </c>
      <c r="P25" s="22"/>
      <c r="Q25" s="20">
        <f t="shared" si="4"/>
        <v>0</v>
      </c>
      <c r="R25" s="23">
        <f t="shared" si="5"/>
        <v>0</v>
      </c>
      <c r="S25" s="20">
        <f t="shared" si="6"/>
        <v>0</v>
      </c>
    </row>
    <row r="26" spans="1:19" x14ac:dyDescent="0.3">
      <c r="A26" s="16" t="s">
        <v>48</v>
      </c>
      <c r="B26" s="16" t="s">
        <v>41</v>
      </c>
      <c r="C26" s="16" t="s">
        <v>42</v>
      </c>
      <c r="D26" s="17">
        <v>175</v>
      </c>
      <c r="E26" s="18"/>
      <c r="F26" s="18"/>
      <c r="G26" s="18"/>
      <c r="H26" s="18"/>
      <c r="I26" s="18"/>
      <c r="J26" s="18"/>
      <c r="K26" s="19">
        <f t="shared" si="0"/>
        <v>0</v>
      </c>
      <c r="L26" s="19">
        <f t="shared" si="1"/>
        <v>0</v>
      </c>
      <c r="M26" s="20">
        <f t="shared" si="2"/>
        <v>0</v>
      </c>
      <c r="N26" s="21"/>
      <c r="O26" s="20">
        <f t="shared" si="3"/>
        <v>0</v>
      </c>
      <c r="P26" s="22"/>
      <c r="Q26" s="20">
        <f t="shared" si="4"/>
        <v>0</v>
      </c>
      <c r="R26" s="23">
        <f t="shared" si="5"/>
        <v>0</v>
      </c>
      <c r="S26" s="20">
        <f t="shared" si="6"/>
        <v>0</v>
      </c>
    </row>
    <row r="27" spans="1:19" x14ac:dyDescent="0.3">
      <c r="A27" s="16" t="s">
        <v>49</v>
      </c>
      <c r="B27" s="16" t="s">
        <v>41</v>
      </c>
      <c r="C27" s="16" t="s">
        <v>42</v>
      </c>
      <c r="D27" s="17">
        <v>195</v>
      </c>
      <c r="E27" s="18"/>
      <c r="F27" s="18"/>
      <c r="G27" s="18"/>
      <c r="H27" s="18"/>
      <c r="I27" s="18"/>
      <c r="J27" s="18"/>
      <c r="K27" s="19">
        <f t="shared" si="0"/>
        <v>0</v>
      </c>
      <c r="L27" s="19">
        <f t="shared" si="1"/>
        <v>0</v>
      </c>
      <c r="M27" s="20">
        <f t="shared" si="2"/>
        <v>0</v>
      </c>
      <c r="N27" s="21"/>
      <c r="O27" s="20">
        <f t="shared" si="3"/>
        <v>0</v>
      </c>
      <c r="P27" s="22"/>
      <c r="Q27" s="20">
        <f t="shared" si="4"/>
        <v>0</v>
      </c>
      <c r="R27" s="23">
        <f t="shared" si="5"/>
        <v>0</v>
      </c>
      <c r="S27" s="20">
        <f t="shared" si="6"/>
        <v>0</v>
      </c>
    </row>
    <row r="28" spans="1:19" x14ac:dyDescent="0.3">
      <c r="A28" s="16" t="s">
        <v>50</v>
      </c>
      <c r="B28" s="16" t="s">
        <v>41</v>
      </c>
      <c r="C28" s="16" t="s">
        <v>42</v>
      </c>
      <c r="D28" s="17">
        <v>285</v>
      </c>
      <c r="E28" s="18"/>
      <c r="F28" s="18"/>
      <c r="G28" s="18"/>
      <c r="H28" s="18"/>
      <c r="I28" s="18"/>
      <c r="J28" s="18"/>
      <c r="K28" s="19">
        <f t="shared" si="0"/>
        <v>0</v>
      </c>
      <c r="L28" s="19">
        <f t="shared" si="1"/>
        <v>0</v>
      </c>
      <c r="M28" s="20">
        <f t="shared" si="2"/>
        <v>0</v>
      </c>
      <c r="N28" s="21"/>
      <c r="O28" s="20">
        <f t="shared" si="3"/>
        <v>0</v>
      </c>
      <c r="P28" s="22"/>
      <c r="Q28" s="20">
        <f t="shared" si="4"/>
        <v>0</v>
      </c>
      <c r="R28" s="23">
        <f t="shared" si="5"/>
        <v>0</v>
      </c>
      <c r="S28" s="20">
        <f t="shared" si="6"/>
        <v>0</v>
      </c>
    </row>
    <row r="29" spans="1:19" x14ac:dyDescent="0.3">
      <c r="A29" s="16" t="s">
        <v>51</v>
      </c>
      <c r="B29" s="16" t="s">
        <v>41</v>
      </c>
      <c r="C29" s="16" t="s">
        <v>42</v>
      </c>
      <c r="D29" s="17">
        <v>285</v>
      </c>
      <c r="E29" s="18"/>
      <c r="F29" s="18"/>
      <c r="G29" s="18"/>
      <c r="H29" s="18"/>
      <c r="I29" s="18"/>
      <c r="J29" s="18"/>
      <c r="K29" s="19">
        <f t="shared" si="0"/>
        <v>0</v>
      </c>
      <c r="L29" s="19">
        <f t="shared" si="1"/>
        <v>0</v>
      </c>
      <c r="M29" s="20">
        <f t="shared" si="2"/>
        <v>0</v>
      </c>
      <c r="N29" s="21"/>
      <c r="O29" s="20">
        <f t="shared" si="3"/>
        <v>0</v>
      </c>
      <c r="P29" s="22"/>
      <c r="Q29" s="20">
        <f t="shared" si="4"/>
        <v>0</v>
      </c>
      <c r="R29" s="23">
        <f t="shared" si="5"/>
        <v>0</v>
      </c>
      <c r="S29" s="20">
        <f t="shared" si="6"/>
        <v>0</v>
      </c>
    </row>
    <row r="30" spans="1:19" x14ac:dyDescent="0.3">
      <c r="A30" s="16" t="s">
        <v>52</v>
      </c>
      <c r="B30" s="16" t="s">
        <v>41</v>
      </c>
      <c r="C30" s="16" t="s">
        <v>42</v>
      </c>
      <c r="D30" s="17">
        <v>720</v>
      </c>
      <c r="E30" s="18"/>
      <c r="F30" s="18"/>
      <c r="G30" s="18"/>
      <c r="H30" s="18"/>
      <c r="I30" s="18"/>
      <c r="J30" s="18"/>
      <c r="K30" s="19">
        <f t="shared" si="0"/>
        <v>0</v>
      </c>
      <c r="L30" s="19">
        <f t="shared" si="1"/>
        <v>0</v>
      </c>
      <c r="M30" s="20">
        <f t="shared" si="2"/>
        <v>0</v>
      </c>
      <c r="N30" s="21"/>
      <c r="O30" s="20">
        <f t="shared" si="3"/>
        <v>0</v>
      </c>
      <c r="P30" s="22"/>
      <c r="Q30" s="20">
        <f t="shared" si="4"/>
        <v>0</v>
      </c>
      <c r="R30" s="23">
        <f t="shared" si="5"/>
        <v>0</v>
      </c>
      <c r="S30" s="20">
        <f t="shared" si="6"/>
        <v>0</v>
      </c>
    </row>
    <row r="31" spans="1:19" x14ac:dyDescent="0.3">
      <c r="A31" s="16" t="s">
        <v>53</v>
      </c>
      <c r="B31" s="16" t="s">
        <v>41</v>
      </c>
      <c r="C31" s="16" t="s">
        <v>27</v>
      </c>
      <c r="D31" s="17">
        <v>85</v>
      </c>
      <c r="E31" s="18"/>
      <c r="F31" s="18"/>
      <c r="G31" s="18"/>
      <c r="H31" s="18"/>
      <c r="I31" s="18"/>
      <c r="J31" s="18"/>
      <c r="K31" s="19">
        <f t="shared" si="0"/>
        <v>0</v>
      </c>
      <c r="L31" s="19">
        <f t="shared" si="1"/>
        <v>0</v>
      </c>
      <c r="M31" s="20">
        <f t="shared" si="2"/>
        <v>0</v>
      </c>
      <c r="N31" s="21"/>
      <c r="O31" s="20">
        <f t="shared" si="3"/>
        <v>0</v>
      </c>
      <c r="P31" s="22"/>
      <c r="Q31" s="20">
        <f t="shared" si="4"/>
        <v>0</v>
      </c>
      <c r="R31" s="23">
        <f t="shared" si="5"/>
        <v>0</v>
      </c>
      <c r="S31" s="20">
        <f t="shared" si="6"/>
        <v>0</v>
      </c>
    </row>
    <row r="32" spans="1:19" x14ac:dyDescent="0.3">
      <c r="A32" s="16" t="s">
        <v>54</v>
      </c>
      <c r="B32" s="16" t="s">
        <v>41</v>
      </c>
      <c r="C32" s="16" t="s">
        <v>27</v>
      </c>
      <c r="D32" s="17">
        <v>140</v>
      </c>
      <c r="E32" s="18"/>
      <c r="F32" s="18"/>
      <c r="G32" s="18"/>
      <c r="H32" s="18"/>
      <c r="I32" s="18"/>
      <c r="J32" s="18"/>
      <c r="K32" s="19">
        <f t="shared" si="0"/>
        <v>0</v>
      </c>
      <c r="L32" s="19">
        <f t="shared" si="1"/>
        <v>0</v>
      </c>
      <c r="M32" s="20">
        <f t="shared" si="2"/>
        <v>0</v>
      </c>
      <c r="N32" s="21"/>
      <c r="O32" s="20">
        <f t="shared" si="3"/>
        <v>0</v>
      </c>
      <c r="P32" s="22"/>
      <c r="Q32" s="20">
        <f t="shared" si="4"/>
        <v>0</v>
      </c>
      <c r="R32" s="23">
        <f t="shared" si="5"/>
        <v>0</v>
      </c>
      <c r="S32" s="20">
        <f t="shared" si="6"/>
        <v>0</v>
      </c>
    </row>
    <row r="33" spans="1:19" x14ac:dyDescent="0.3">
      <c r="A33" s="16" t="s">
        <v>55</v>
      </c>
      <c r="B33" s="16" t="s">
        <v>56</v>
      </c>
      <c r="C33" s="16" t="s">
        <v>27</v>
      </c>
      <c r="D33" s="17">
        <v>45</v>
      </c>
      <c r="E33" s="18"/>
      <c r="F33" s="18"/>
      <c r="G33" s="18"/>
      <c r="H33" s="18"/>
      <c r="I33" s="18"/>
      <c r="J33" s="18"/>
      <c r="K33" s="19">
        <f t="shared" si="0"/>
        <v>0</v>
      </c>
      <c r="L33" s="19">
        <f t="shared" si="1"/>
        <v>0</v>
      </c>
      <c r="M33" s="20">
        <f t="shared" si="2"/>
        <v>0</v>
      </c>
      <c r="N33" s="21"/>
      <c r="O33" s="20">
        <f t="shared" si="3"/>
        <v>0</v>
      </c>
      <c r="P33" s="22"/>
      <c r="Q33" s="20">
        <f t="shared" si="4"/>
        <v>0</v>
      </c>
      <c r="R33" s="23">
        <f t="shared" si="5"/>
        <v>0</v>
      </c>
      <c r="S33" s="20">
        <f t="shared" si="6"/>
        <v>0</v>
      </c>
    </row>
    <row r="34" spans="1:19" x14ac:dyDescent="0.3">
      <c r="A34" s="16" t="s">
        <v>57</v>
      </c>
      <c r="B34" s="16" t="s">
        <v>56</v>
      </c>
      <c r="C34" s="16" t="s">
        <v>27</v>
      </c>
      <c r="D34" s="17">
        <v>30</v>
      </c>
      <c r="E34" s="18"/>
      <c r="F34" s="18"/>
      <c r="G34" s="18"/>
      <c r="H34" s="18"/>
      <c r="I34" s="18"/>
      <c r="J34" s="18"/>
      <c r="K34" s="19">
        <f t="shared" si="0"/>
        <v>0</v>
      </c>
      <c r="L34" s="19">
        <f t="shared" si="1"/>
        <v>0</v>
      </c>
      <c r="M34" s="20">
        <f t="shared" si="2"/>
        <v>0</v>
      </c>
      <c r="N34" s="21"/>
      <c r="O34" s="20">
        <f t="shared" si="3"/>
        <v>0</v>
      </c>
      <c r="P34" s="22"/>
      <c r="Q34" s="20">
        <f t="shared" si="4"/>
        <v>0</v>
      </c>
      <c r="R34" s="23">
        <f t="shared" si="5"/>
        <v>0</v>
      </c>
      <c r="S34" s="20">
        <f t="shared" si="6"/>
        <v>0</v>
      </c>
    </row>
    <row r="35" spans="1:19" x14ac:dyDescent="0.3">
      <c r="A35" s="16" t="s">
        <v>58</v>
      </c>
      <c r="B35" s="16" t="s">
        <v>56</v>
      </c>
      <c r="C35" s="16" t="s">
        <v>27</v>
      </c>
      <c r="D35" s="17">
        <v>22</v>
      </c>
      <c r="E35" s="18"/>
      <c r="F35" s="18"/>
      <c r="G35" s="18"/>
      <c r="H35" s="18"/>
      <c r="I35" s="18"/>
      <c r="J35" s="18"/>
      <c r="K35" s="19">
        <f t="shared" si="0"/>
        <v>0</v>
      </c>
      <c r="L35" s="19">
        <f t="shared" si="1"/>
        <v>0</v>
      </c>
      <c r="M35" s="20">
        <f t="shared" si="2"/>
        <v>0</v>
      </c>
      <c r="N35" s="21"/>
      <c r="O35" s="20">
        <f t="shared" si="3"/>
        <v>0</v>
      </c>
      <c r="P35" s="22"/>
      <c r="Q35" s="20">
        <f t="shared" si="4"/>
        <v>0</v>
      </c>
      <c r="R35" s="23">
        <f t="shared" si="5"/>
        <v>0</v>
      </c>
      <c r="S35" s="20">
        <f t="shared" si="6"/>
        <v>0</v>
      </c>
    </row>
    <row r="36" spans="1:19" x14ac:dyDescent="0.3">
      <c r="A36" s="16" t="s">
        <v>59</v>
      </c>
      <c r="B36" s="16" t="s">
        <v>56</v>
      </c>
      <c r="C36" s="16" t="s">
        <v>27</v>
      </c>
      <c r="D36" s="17">
        <v>25</v>
      </c>
      <c r="E36" s="18"/>
      <c r="F36" s="18"/>
      <c r="G36" s="18"/>
      <c r="H36" s="18"/>
      <c r="I36" s="18"/>
      <c r="J36" s="18"/>
      <c r="K36" s="19">
        <f t="shared" ref="K36:K67" si="7">IF(J36&lt;&gt;"",J36,IF(I36&lt;&gt;"",I36,IF(H36&lt;&gt;"",H36,G36)))</f>
        <v>0</v>
      </c>
      <c r="L36" s="19">
        <f t="shared" ref="L36:L67" si="8">IF(AND(E36&lt;&gt;"",F36&lt;&gt;"",K36&lt;&gt;""),E36+F36-K36,0)</f>
        <v>0</v>
      </c>
      <c r="M36" s="20">
        <f t="shared" ref="M36:M67" si="9">L36*D36</f>
        <v>0</v>
      </c>
      <c r="N36" s="21"/>
      <c r="O36" s="20">
        <f t="shared" ref="O36:O67" si="10">IF(N36="",0,N36*D36)</f>
        <v>0</v>
      </c>
      <c r="P36" s="22"/>
      <c r="Q36" s="20">
        <f t="shared" ref="Q36:Q67" si="11">IF(P36="",0,P36*D36)</f>
        <v>0</v>
      </c>
      <c r="R36" s="23">
        <f t="shared" ref="R36:R62" si="12">L36-IF(N36="",0,N36)-IF(P36="",0,P36)</f>
        <v>0</v>
      </c>
      <c r="S36" s="20">
        <f t="shared" ref="S36:S67" si="13">R36*D36</f>
        <v>0</v>
      </c>
    </row>
    <row r="37" spans="1:19" x14ac:dyDescent="0.3">
      <c r="A37" s="16" t="s">
        <v>60</v>
      </c>
      <c r="B37" s="16" t="s">
        <v>56</v>
      </c>
      <c r="C37" s="16" t="s">
        <v>27</v>
      </c>
      <c r="D37" s="17">
        <v>28</v>
      </c>
      <c r="E37" s="18"/>
      <c r="F37" s="18"/>
      <c r="G37" s="18"/>
      <c r="H37" s="18"/>
      <c r="I37" s="18"/>
      <c r="J37" s="18"/>
      <c r="K37" s="19">
        <f t="shared" si="7"/>
        <v>0</v>
      </c>
      <c r="L37" s="19">
        <f t="shared" si="8"/>
        <v>0</v>
      </c>
      <c r="M37" s="20">
        <f t="shared" si="9"/>
        <v>0</v>
      </c>
      <c r="N37" s="21"/>
      <c r="O37" s="20">
        <f t="shared" si="10"/>
        <v>0</v>
      </c>
      <c r="P37" s="22"/>
      <c r="Q37" s="20">
        <f t="shared" si="11"/>
        <v>0</v>
      </c>
      <c r="R37" s="23">
        <f t="shared" si="12"/>
        <v>0</v>
      </c>
      <c r="S37" s="20">
        <f t="shared" si="13"/>
        <v>0</v>
      </c>
    </row>
    <row r="38" spans="1:19" x14ac:dyDescent="0.3">
      <c r="A38" s="16" t="s">
        <v>61</v>
      </c>
      <c r="B38" s="16" t="s">
        <v>56</v>
      </c>
      <c r="C38" s="16" t="s">
        <v>27</v>
      </c>
      <c r="D38" s="17">
        <v>15</v>
      </c>
      <c r="E38" s="18"/>
      <c r="F38" s="18"/>
      <c r="G38" s="18"/>
      <c r="H38" s="18"/>
      <c r="I38" s="18"/>
      <c r="J38" s="18"/>
      <c r="K38" s="19">
        <f t="shared" si="7"/>
        <v>0</v>
      </c>
      <c r="L38" s="19">
        <f t="shared" si="8"/>
        <v>0</v>
      </c>
      <c r="M38" s="20">
        <f t="shared" si="9"/>
        <v>0</v>
      </c>
      <c r="N38" s="21"/>
      <c r="O38" s="20">
        <f t="shared" si="10"/>
        <v>0</v>
      </c>
      <c r="P38" s="22"/>
      <c r="Q38" s="20">
        <f t="shared" si="11"/>
        <v>0</v>
      </c>
      <c r="R38" s="23">
        <f t="shared" si="12"/>
        <v>0</v>
      </c>
      <c r="S38" s="20">
        <f t="shared" si="13"/>
        <v>0</v>
      </c>
    </row>
    <row r="39" spans="1:19" x14ac:dyDescent="0.3">
      <c r="A39" s="16" t="s">
        <v>62</v>
      </c>
      <c r="B39" s="16" t="s">
        <v>56</v>
      </c>
      <c r="C39" s="16" t="s">
        <v>27</v>
      </c>
      <c r="D39" s="17">
        <v>12</v>
      </c>
      <c r="E39" s="18"/>
      <c r="F39" s="18"/>
      <c r="G39" s="18"/>
      <c r="H39" s="18"/>
      <c r="I39" s="18"/>
      <c r="J39" s="18"/>
      <c r="K39" s="19">
        <f t="shared" si="7"/>
        <v>0</v>
      </c>
      <c r="L39" s="19">
        <f t="shared" si="8"/>
        <v>0</v>
      </c>
      <c r="M39" s="20">
        <f t="shared" si="9"/>
        <v>0</v>
      </c>
      <c r="N39" s="21"/>
      <c r="O39" s="20">
        <f t="shared" si="10"/>
        <v>0</v>
      </c>
      <c r="P39" s="22"/>
      <c r="Q39" s="20">
        <f t="shared" si="11"/>
        <v>0</v>
      </c>
      <c r="R39" s="23">
        <f t="shared" si="12"/>
        <v>0</v>
      </c>
      <c r="S39" s="20">
        <f t="shared" si="13"/>
        <v>0</v>
      </c>
    </row>
    <row r="40" spans="1:19" x14ac:dyDescent="0.3">
      <c r="A40" s="16" t="s">
        <v>63</v>
      </c>
      <c r="B40" s="16" t="s">
        <v>56</v>
      </c>
      <c r="C40" s="16" t="s">
        <v>23</v>
      </c>
      <c r="D40" s="17">
        <v>320</v>
      </c>
      <c r="E40" s="18"/>
      <c r="F40" s="18"/>
      <c r="G40" s="18"/>
      <c r="H40" s="18"/>
      <c r="I40" s="18"/>
      <c r="J40" s="18"/>
      <c r="K40" s="19">
        <f t="shared" si="7"/>
        <v>0</v>
      </c>
      <c r="L40" s="19">
        <f t="shared" si="8"/>
        <v>0</v>
      </c>
      <c r="M40" s="20">
        <f t="shared" si="9"/>
        <v>0</v>
      </c>
      <c r="N40" s="21"/>
      <c r="O40" s="20">
        <f t="shared" si="10"/>
        <v>0</v>
      </c>
      <c r="P40" s="22"/>
      <c r="Q40" s="20">
        <f t="shared" si="11"/>
        <v>0</v>
      </c>
      <c r="R40" s="23">
        <f t="shared" si="12"/>
        <v>0</v>
      </c>
      <c r="S40" s="20">
        <f t="shared" si="13"/>
        <v>0</v>
      </c>
    </row>
    <row r="41" spans="1:19" x14ac:dyDescent="0.3">
      <c r="A41" s="16" t="s">
        <v>64</v>
      </c>
      <c r="B41" s="16" t="s">
        <v>56</v>
      </c>
      <c r="C41" s="16" t="s">
        <v>23</v>
      </c>
      <c r="D41" s="17">
        <v>280</v>
      </c>
      <c r="E41" s="18"/>
      <c r="F41" s="18"/>
      <c r="G41" s="18"/>
      <c r="H41" s="18"/>
      <c r="I41" s="18"/>
      <c r="J41" s="18"/>
      <c r="K41" s="19">
        <f t="shared" si="7"/>
        <v>0</v>
      </c>
      <c r="L41" s="19">
        <f t="shared" si="8"/>
        <v>0</v>
      </c>
      <c r="M41" s="20">
        <f t="shared" si="9"/>
        <v>0</v>
      </c>
      <c r="N41" s="21"/>
      <c r="O41" s="20">
        <f t="shared" si="10"/>
        <v>0</v>
      </c>
      <c r="P41" s="22"/>
      <c r="Q41" s="20">
        <f t="shared" si="11"/>
        <v>0</v>
      </c>
      <c r="R41" s="23">
        <f t="shared" si="12"/>
        <v>0</v>
      </c>
      <c r="S41" s="20">
        <f t="shared" si="13"/>
        <v>0</v>
      </c>
    </row>
    <row r="42" spans="1:19" x14ac:dyDescent="0.3">
      <c r="A42" s="16" t="s">
        <v>65</v>
      </c>
      <c r="B42" s="16" t="s">
        <v>56</v>
      </c>
      <c r="C42" s="16" t="s">
        <v>23</v>
      </c>
      <c r="D42" s="17">
        <v>45</v>
      </c>
      <c r="E42" s="18"/>
      <c r="F42" s="18"/>
      <c r="G42" s="18"/>
      <c r="H42" s="18"/>
      <c r="I42" s="18"/>
      <c r="J42" s="18"/>
      <c r="K42" s="19">
        <f t="shared" si="7"/>
        <v>0</v>
      </c>
      <c r="L42" s="19">
        <f t="shared" si="8"/>
        <v>0</v>
      </c>
      <c r="M42" s="20">
        <f t="shared" si="9"/>
        <v>0</v>
      </c>
      <c r="N42" s="21"/>
      <c r="O42" s="20">
        <f t="shared" si="10"/>
        <v>0</v>
      </c>
      <c r="P42" s="22"/>
      <c r="Q42" s="20">
        <f t="shared" si="11"/>
        <v>0</v>
      </c>
      <c r="R42" s="23">
        <f t="shared" si="12"/>
        <v>0</v>
      </c>
      <c r="S42" s="20">
        <f t="shared" si="13"/>
        <v>0</v>
      </c>
    </row>
    <row r="43" spans="1:19" x14ac:dyDescent="0.3">
      <c r="A43" s="16" t="s">
        <v>66</v>
      </c>
      <c r="B43" s="16" t="s">
        <v>56</v>
      </c>
      <c r="C43" s="16" t="s">
        <v>23</v>
      </c>
      <c r="D43" s="17">
        <v>35</v>
      </c>
      <c r="E43" s="18"/>
      <c r="F43" s="18"/>
      <c r="G43" s="18"/>
      <c r="H43" s="18"/>
      <c r="I43" s="18"/>
      <c r="J43" s="18"/>
      <c r="K43" s="19">
        <f t="shared" si="7"/>
        <v>0</v>
      </c>
      <c r="L43" s="19">
        <f t="shared" si="8"/>
        <v>0</v>
      </c>
      <c r="M43" s="20">
        <f t="shared" si="9"/>
        <v>0</v>
      </c>
      <c r="N43" s="21"/>
      <c r="O43" s="20">
        <f t="shared" si="10"/>
        <v>0</v>
      </c>
      <c r="P43" s="22"/>
      <c r="Q43" s="20">
        <f t="shared" si="11"/>
        <v>0</v>
      </c>
      <c r="R43" s="23">
        <f t="shared" si="12"/>
        <v>0</v>
      </c>
      <c r="S43" s="20">
        <f t="shared" si="13"/>
        <v>0</v>
      </c>
    </row>
    <row r="44" spans="1:19" x14ac:dyDescent="0.3">
      <c r="A44" s="16" t="s">
        <v>67</v>
      </c>
      <c r="B44" s="16" t="s">
        <v>56</v>
      </c>
      <c r="C44" s="16" t="s">
        <v>23</v>
      </c>
      <c r="D44" s="17">
        <v>180</v>
      </c>
      <c r="E44" s="18"/>
      <c r="F44" s="18"/>
      <c r="G44" s="18"/>
      <c r="H44" s="18"/>
      <c r="I44" s="18"/>
      <c r="J44" s="18"/>
      <c r="K44" s="19">
        <f t="shared" si="7"/>
        <v>0</v>
      </c>
      <c r="L44" s="19">
        <f t="shared" si="8"/>
        <v>0</v>
      </c>
      <c r="M44" s="20">
        <f t="shared" si="9"/>
        <v>0</v>
      </c>
      <c r="N44" s="21"/>
      <c r="O44" s="20">
        <f t="shared" si="10"/>
        <v>0</v>
      </c>
      <c r="P44" s="22"/>
      <c r="Q44" s="20">
        <f t="shared" si="11"/>
        <v>0</v>
      </c>
      <c r="R44" s="23">
        <f t="shared" si="12"/>
        <v>0</v>
      </c>
      <c r="S44" s="20">
        <f t="shared" si="13"/>
        <v>0</v>
      </c>
    </row>
    <row r="45" spans="1:19" x14ac:dyDescent="0.3">
      <c r="A45" s="16" t="s">
        <v>68</v>
      </c>
      <c r="B45" s="16" t="s">
        <v>56</v>
      </c>
      <c r="C45" s="16" t="s">
        <v>27</v>
      </c>
      <c r="D45" s="17">
        <v>95</v>
      </c>
      <c r="E45" s="18"/>
      <c r="F45" s="18"/>
      <c r="G45" s="18"/>
      <c r="H45" s="18"/>
      <c r="I45" s="18"/>
      <c r="J45" s="18"/>
      <c r="K45" s="19">
        <f t="shared" si="7"/>
        <v>0</v>
      </c>
      <c r="L45" s="19">
        <f t="shared" si="8"/>
        <v>0</v>
      </c>
      <c r="M45" s="20">
        <f t="shared" si="9"/>
        <v>0</v>
      </c>
      <c r="N45" s="21"/>
      <c r="O45" s="20">
        <f t="shared" si="10"/>
        <v>0</v>
      </c>
      <c r="P45" s="22"/>
      <c r="Q45" s="20">
        <f t="shared" si="11"/>
        <v>0</v>
      </c>
      <c r="R45" s="23">
        <f t="shared" si="12"/>
        <v>0</v>
      </c>
      <c r="S45" s="20">
        <f t="shared" si="13"/>
        <v>0</v>
      </c>
    </row>
    <row r="46" spans="1:19" x14ac:dyDescent="0.3">
      <c r="A46" s="16" t="s">
        <v>69</v>
      </c>
      <c r="B46" s="16" t="s">
        <v>70</v>
      </c>
      <c r="C46" s="16" t="s">
        <v>27</v>
      </c>
      <c r="D46" s="17">
        <v>75</v>
      </c>
      <c r="E46" s="18"/>
      <c r="F46" s="18"/>
      <c r="G46" s="18"/>
      <c r="H46" s="18"/>
      <c r="I46" s="18"/>
      <c r="J46" s="18"/>
      <c r="K46" s="19">
        <f t="shared" si="7"/>
        <v>0</v>
      </c>
      <c r="L46" s="19">
        <f t="shared" si="8"/>
        <v>0</v>
      </c>
      <c r="M46" s="20">
        <f t="shared" si="9"/>
        <v>0</v>
      </c>
      <c r="N46" s="21"/>
      <c r="O46" s="20">
        <f t="shared" si="10"/>
        <v>0</v>
      </c>
      <c r="P46" s="22"/>
      <c r="Q46" s="20">
        <f t="shared" si="11"/>
        <v>0</v>
      </c>
      <c r="R46" s="23">
        <f t="shared" si="12"/>
        <v>0</v>
      </c>
      <c r="S46" s="20">
        <f t="shared" si="13"/>
        <v>0</v>
      </c>
    </row>
    <row r="47" spans="1:19" x14ac:dyDescent="0.3">
      <c r="A47" s="16" t="s">
        <v>71</v>
      </c>
      <c r="B47" s="16" t="s">
        <v>70</v>
      </c>
      <c r="C47" s="16" t="s">
        <v>27</v>
      </c>
      <c r="D47" s="17">
        <v>85</v>
      </c>
      <c r="E47" s="18"/>
      <c r="F47" s="18"/>
      <c r="G47" s="18"/>
      <c r="H47" s="18"/>
      <c r="I47" s="18"/>
      <c r="J47" s="18"/>
      <c r="K47" s="19">
        <f t="shared" si="7"/>
        <v>0</v>
      </c>
      <c r="L47" s="19">
        <f t="shared" si="8"/>
        <v>0</v>
      </c>
      <c r="M47" s="20">
        <f t="shared" si="9"/>
        <v>0</v>
      </c>
      <c r="N47" s="21"/>
      <c r="O47" s="20">
        <f t="shared" si="10"/>
        <v>0</v>
      </c>
      <c r="P47" s="22"/>
      <c r="Q47" s="20">
        <f t="shared" si="11"/>
        <v>0</v>
      </c>
      <c r="R47" s="23">
        <f t="shared" si="12"/>
        <v>0</v>
      </c>
      <c r="S47" s="20">
        <f t="shared" si="13"/>
        <v>0</v>
      </c>
    </row>
    <row r="48" spans="1:19" x14ac:dyDescent="0.3">
      <c r="A48" s="16" t="s">
        <v>72</v>
      </c>
      <c r="B48" s="16" t="s">
        <v>70</v>
      </c>
      <c r="C48" s="16" t="s">
        <v>27</v>
      </c>
      <c r="D48" s="17">
        <v>95</v>
      </c>
      <c r="E48" s="18"/>
      <c r="F48" s="18"/>
      <c r="G48" s="18"/>
      <c r="H48" s="18"/>
      <c r="I48" s="18"/>
      <c r="J48" s="18"/>
      <c r="K48" s="19">
        <f t="shared" si="7"/>
        <v>0</v>
      </c>
      <c r="L48" s="19">
        <f t="shared" si="8"/>
        <v>0</v>
      </c>
      <c r="M48" s="20">
        <f t="shared" si="9"/>
        <v>0</v>
      </c>
      <c r="N48" s="21"/>
      <c r="O48" s="20">
        <f t="shared" si="10"/>
        <v>0</v>
      </c>
      <c r="P48" s="22"/>
      <c r="Q48" s="20">
        <f t="shared" si="11"/>
        <v>0</v>
      </c>
      <c r="R48" s="23">
        <f t="shared" si="12"/>
        <v>0</v>
      </c>
      <c r="S48" s="20">
        <f t="shared" si="13"/>
        <v>0</v>
      </c>
    </row>
    <row r="49" spans="1:19" x14ac:dyDescent="0.3">
      <c r="A49" s="16" t="s">
        <v>73</v>
      </c>
      <c r="B49" s="16" t="s">
        <v>70</v>
      </c>
      <c r="C49" s="16" t="s">
        <v>27</v>
      </c>
      <c r="D49" s="17">
        <v>45</v>
      </c>
      <c r="E49" s="18"/>
      <c r="F49" s="18"/>
      <c r="G49" s="18"/>
      <c r="H49" s="18"/>
      <c r="I49" s="18"/>
      <c r="J49" s="18"/>
      <c r="K49" s="19">
        <f t="shared" si="7"/>
        <v>0</v>
      </c>
      <c r="L49" s="19">
        <f t="shared" si="8"/>
        <v>0</v>
      </c>
      <c r="M49" s="20">
        <f t="shared" si="9"/>
        <v>0</v>
      </c>
      <c r="N49" s="21"/>
      <c r="O49" s="20">
        <f t="shared" si="10"/>
        <v>0</v>
      </c>
      <c r="P49" s="22"/>
      <c r="Q49" s="20">
        <f t="shared" si="11"/>
        <v>0</v>
      </c>
      <c r="R49" s="23">
        <f t="shared" si="12"/>
        <v>0</v>
      </c>
      <c r="S49" s="20">
        <f t="shared" si="13"/>
        <v>0</v>
      </c>
    </row>
    <row r="50" spans="1:19" x14ac:dyDescent="0.3">
      <c r="A50" s="16" t="s">
        <v>74</v>
      </c>
      <c r="B50" s="16" t="s">
        <v>70</v>
      </c>
      <c r="C50" s="16" t="s">
        <v>27</v>
      </c>
      <c r="D50" s="17">
        <v>25</v>
      </c>
      <c r="E50" s="18"/>
      <c r="F50" s="18"/>
      <c r="G50" s="18"/>
      <c r="H50" s="18"/>
      <c r="I50" s="18"/>
      <c r="J50" s="18"/>
      <c r="K50" s="19">
        <f t="shared" si="7"/>
        <v>0</v>
      </c>
      <c r="L50" s="19">
        <f t="shared" si="8"/>
        <v>0</v>
      </c>
      <c r="M50" s="20">
        <f t="shared" si="9"/>
        <v>0</v>
      </c>
      <c r="N50" s="21"/>
      <c r="O50" s="20">
        <f t="shared" si="10"/>
        <v>0</v>
      </c>
      <c r="P50" s="22"/>
      <c r="Q50" s="20">
        <f t="shared" si="11"/>
        <v>0</v>
      </c>
      <c r="R50" s="23">
        <f t="shared" si="12"/>
        <v>0</v>
      </c>
      <c r="S50" s="20">
        <f t="shared" si="13"/>
        <v>0</v>
      </c>
    </row>
    <row r="51" spans="1:19" x14ac:dyDescent="0.3">
      <c r="A51" s="16" t="s">
        <v>75</v>
      </c>
      <c r="B51" s="16" t="s">
        <v>70</v>
      </c>
      <c r="C51" s="16" t="s">
        <v>27</v>
      </c>
      <c r="D51" s="17">
        <v>18</v>
      </c>
      <c r="E51" s="18"/>
      <c r="F51" s="18"/>
      <c r="G51" s="18"/>
      <c r="H51" s="18"/>
      <c r="I51" s="18"/>
      <c r="J51" s="18"/>
      <c r="K51" s="19">
        <f t="shared" si="7"/>
        <v>0</v>
      </c>
      <c r="L51" s="19">
        <f t="shared" si="8"/>
        <v>0</v>
      </c>
      <c r="M51" s="20">
        <f t="shared" si="9"/>
        <v>0</v>
      </c>
      <c r="N51" s="21"/>
      <c r="O51" s="20">
        <f t="shared" si="10"/>
        <v>0</v>
      </c>
      <c r="P51" s="22"/>
      <c r="Q51" s="20">
        <f t="shared" si="11"/>
        <v>0</v>
      </c>
      <c r="R51" s="23">
        <f t="shared" si="12"/>
        <v>0</v>
      </c>
      <c r="S51" s="20">
        <f t="shared" si="13"/>
        <v>0</v>
      </c>
    </row>
    <row r="52" spans="1:19" x14ac:dyDescent="0.3">
      <c r="A52" s="16" t="s">
        <v>76</v>
      </c>
      <c r="B52" s="16" t="s">
        <v>70</v>
      </c>
      <c r="C52" s="16" t="s">
        <v>27</v>
      </c>
      <c r="D52" s="17">
        <v>55</v>
      </c>
      <c r="E52" s="18"/>
      <c r="F52" s="18"/>
      <c r="G52" s="18"/>
      <c r="H52" s="18"/>
      <c r="I52" s="18"/>
      <c r="J52" s="18"/>
      <c r="K52" s="19">
        <f t="shared" si="7"/>
        <v>0</v>
      </c>
      <c r="L52" s="19">
        <f t="shared" si="8"/>
        <v>0</v>
      </c>
      <c r="M52" s="20">
        <f t="shared" si="9"/>
        <v>0</v>
      </c>
      <c r="N52" s="21"/>
      <c r="O52" s="20">
        <f t="shared" si="10"/>
        <v>0</v>
      </c>
      <c r="P52" s="22"/>
      <c r="Q52" s="20">
        <f t="shared" si="11"/>
        <v>0</v>
      </c>
      <c r="R52" s="23">
        <f t="shared" si="12"/>
        <v>0</v>
      </c>
      <c r="S52" s="20">
        <f t="shared" si="13"/>
        <v>0</v>
      </c>
    </row>
    <row r="53" spans="1:19" x14ac:dyDescent="0.3">
      <c r="A53" s="16" t="s">
        <v>77</v>
      </c>
      <c r="B53" s="16" t="s">
        <v>70</v>
      </c>
      <c r="C53" s="16" t="s">
        <v>27</v>
      </c>
      <c r="D53" s="17">
        <v>40</v>
      </c>
      <c r="E53" s="18"/>
      <c r="F53" s="18"/>
      <c r="G53" s="18"/>
      <c r="H53" s="18"/>
      <c r="I53" s="18"/>
      <c r="J53" s="18"/>
      <c r="K53" s="19">
        <f t="shared" si="7"/>
        <v>0</v>
      </c>
      <c r="L53" s="19">
        <f t="shared" si="8"/>
        <v>0</v>
      </c>
      <c r="M53" s="20">
        <f t="shared" si="9"/>
        <v>0</v>
      </c>
      <c r="N53" s="21"/>
      <c r="O53" s="20">
        <f t="shared" si="10"/>
        <v>0</v>
      </c>
      <c r="P53" s="22"/>
      <c r="Q53" s="20">
        <f t="shared" si="11"/>
        <v>0</v>
      </c>
      <c r="R53" s="23">
        <f t="shared" si="12"/>
        <v>0</v>
      </c>
      <c r="S53" s="20">
        <f t="shared" si="13"/>
        <v>0</v>
      </c>
    </row>
    <row r="54" spans="1:19" x14ac:dyDescent="0.3">
      <c r="A54" s="16" t="s">
        <v>78</v>
      </c>
      <c r="B54" s="16" t="s">
        <v>70</v>
      </c>
      <c r="C54" s="16" t="s">
        <v>27</v>
      </c>
      <c r="D54" s="17">
        <v>20</v>
      </c>
      <c r="E54" s="18"/>
      <c r="F54" s="18"/>
      <c r="G54" s="18"/>
      <c r="H54" s="18"/>
      <c r="I54" s="18"/>
      <c r="J54" s="18"/>
      <c r="K54" s="19">
        <f t="shared" si="7"/>
        <v>0</v>
      </c>
      <c r="L54" s="19">
        <f t="shared" si="8"/>
        <v>0</v>
      </c>
      <c r="M54" s="20">
        <f t="shared" si="9"/>
        <v>0</v>
      </c>
      <c r="N54" s="21"/>
      <c r="O54" s="20">
        <f t="shared" si="10"/>
        <v>0</v>
      </c>
      <c r="P54" s="22"/>
      <c r="Q54" s="20">
        <f t="shared" si="11"/>
        <v>0</v>
      </c>
      <c r="R54" s="23">
        <f t="shared" si="12"/>
        <v>0</v>
      </c>
      <c r="S54" s="20">
        <f t="shared" si="13"/>
        <v>0</v>
      </c>
    </row>
    <row r="55" spans="1:19" x14ac:dyDescent="0.3">
      <c r="A55" s="16" t="s">
        <v>79</v>
      </c>
      <c r="B55" s="16" t="s">
        <v>70</v>
      </c>
      <c r="C55" s="16" t="s">
        <v>23</v>
      </c>
      <c r="D55" s="17">
        <v>42</v>
      </c>
      <c r="E55" s="18"/>
      <c r="F55" s="18"/>
      <c r="G55" s="18"/>
      <c r="H55" s="18"/>
      <c r="I55" s="18"/>
      <c r="J55" s="18"/>
      <c r="K55" s="19">
        <f t="shared" si="7"/>
        <v>0</v>
      </c>
      <c r="L55" s="19">
        <f t="shared" si="8"/>
        <v>0</v>
      </c>
      <c r="M55" s="20">
        <f t="shared" si="9"/>
        <v>0</v>
      </c>
      <c r="N55" s="21"/>
      <c r="O55" s="20">
        <f t="shared" si="10"/>
        <v>0</v>
      </c>
      <c r="P55" s="22"/>
      <c r="Q55" s="20">
        <f t="shared" si="11"/>
        <v>0</v>
      </c>
      <c r="R55" s="23">
        <f t="shared" si="12"/>
        <v>0</v>
      </c>
      <c r="S55" s="20">
        <f t="shared" si="13"/>
        <v>0</v>
      </c>
    </row>
    <row r="56" spans="1:19" x14ac:dyDescent="0.3">
      <c r="A56" s="16" t="s">
        <v>80</v>
      </c>
      <c r="B56" s="16" t="s">
        <v>81</v>
      </c>
      <c r="C56" s="16" t="s">
        <v>27</v>
      </c>
      <c r="D56" s="17">
        <v>120</v>
      </c>
      <c r="E56" s="18"/>
      <c r="F56" s="18"/>
      <c r="G56" s="18"/>
      <c r="H56" s="18"/>
      <c r="I56" s="18"/>
      <c r="J56" s="18"/>
      <c r="K56" s="19">
        <f t="shared" si="7"/>
        <v>0</v>
      </c>
      <c r="L56" s="19">
        <f t="shared" si="8"/>
        <v>0</v>
      </c>
      <c r="M56" s="20">
        <f t="shared" si="9"/>
        <v>0</v>
      </c>
      <c r="N56" s="21"/>
      <c r="O56" s="20">
        <f t="shared" si="10"/>
        <v>0</v>
      </c>
      <c r="P56" s="22"/>
      <c r="Q56" s="20">
        <f t="shared" si="11"/>
        <v>0</v>
      </c>
      <c r="R56" s="23">
        <f t="shared" si="12"/>
        <v>0</v>
      </c>
      <c r="S56" s="20">
        <f t="shared" si="13"/>
        <v>0</v>
      </c>
    </row>
    <row r="57" spans="1:19" x14ac:dyDescent="0.3">
      <c r="A57" s="16" t="s">
        <v>82</v>
      </c>
      <c r="B57" s="16" t="s">
        <v>81</v>
      </c>
      <c r="C57" s="16" t="s">
        <v>27</v>
      </c>
      <c r="D57" s="17">
        <v>65</v>
      </c>
      <c r="E57" s="18"/>
      <c r="F57" s="18"/>
      <c r="G57" s="18"/>
      <c r="H57" s="18"/>
      <c r="I57" s="18"/>
      <c r="J57" s="18"/>
      <c r="K57" s="19">
        <f t="shared" si="7"/>
        <v>0</v>
      </c>
      <c r="L57" s="19">
        <f t="shared" si="8"/>
        <v>0</v>
      </c>
      <c r="M57" s="20">
        <f t="shared" si="9"/>
        <v>0</v>
      </c>
      <c r="N57" s="21"/>
      <c r="O57" s="20">
        <f t="shared" si="10"/>
        <v>0</v>
      </c>
      <c r="P57" s="22"/>
      <c r="Q57" s="20">
        <f t="shared" si="11"/>
        <v>0</v>
      </c>
      <c r="R57" s="23">
        <f t="shared" si="12"/>
        <v>0</v>
      </c>
      <c r="S57" s="20">
        <f t="shared" si="13"/>
        <v>0</v>
      </c>
    </row>
    <row r="58" spans="1:19" x14ac:dyDescent="0.3">
      <c r="A58" s="16" t="s">
        <v>83</v>
      </c>
      <c r="B58" s="16" t="s">
        <v>81</v>
      </c>
      <c r="C58" s="16" t="s">
        <v>27</v>
      </c>
      <c r="D58" s="17">
        <v>45</v>
      </c>
      <c r="E58" s="18"/>
      <c r="F58" s="18"/>
      <c r="G58" s="18"/>
      <c r="H58" s="18"/>
      <c r="I58" s="18"/>
      <c r="J58" s="18"/>
      <c r="K58" s="19">
        <f t="shared" si="7"/>
        <v>0</v>
      </c>
      <c r="L58" s="19">
        <f t="shared" si="8"/>
        <v>0</v>
      </c>
      <c r="M58" s="20">
        <f t="shared" si="9"/>
        <v>0</v>
      </c>
      <c r="N58" s="21"/>
      <c r="O58" s="20">
        <f t="shared" si="10"/>
        <v>0</v>
      </c>
      <c r="P58" s="22"/>
      <c r="Q58" s="20">
        <f t="shared" si="11"/>
        <v>0</v>
      </c>
      <c r="R58" s="23">
        <f t="shared" si="12"/>
        <v>0</v>
      </c>
      <c r="S58" s="20">
        <f t="shared" si="13"/>
        <v>0</v>
      </c>
    </row>
    <row r="59" spans="1:19" x14ac:dyDescent="0.3">
      <c r="A59" s="16" t="s">
        <v>84</v>
      </c>
      <c r="B59" s="16" t="s">
        <v>81</v>
      </c>
      <c r="C59" s="16" t="s">
        <v>27</v>
      </c>
      <c r="D59" s="17">
        <v>85</v>
      </c>
      <c r="E59" s="18"/>
      <c r="F59" s="18"/>
      <c r="G59" s="18"/>
      <c r="H59" s="18"/>
      <c r="I59" s="18"/>
      <c r="J59" s="18"/>
      <c r="K59" s="19">
        <f t="shared" si="7"/>
        <v>0</v>
      </c>
      <c r="L59" s="19">
        <f t="shared" si="8"/>
        <v>0</v>
      </c>
      <c r="M59" s="20">
        <f t="shared" si="9"/>
        <v>0</v>
      </c>
      <c r="N59" s="21"/>
      <c r="O59" s="20">
        <f t="shared" si="10"/>
        <v>0</v>
      </c>
      <c r="P59" s="22"/>
      <c r="Q59" s="20">
        <f t="shared" si="11"/>
        <v>0</v>
      </c>
      <c r="R59" s="23">
        <f t="shared" si="12"/>
        <v>0</v>
      </c>
      <c r="S59" s="20">
        <f t="shared" si="13"/>
        <v>0</v>
      </c>
    </row>
    <row r="60" spans="1:19" x14ac:dyDescent="0.3">
      <c r="A60" s="16" t="s">
        <v>85</v>
      </c>
      <c r="B60" s="16" t="s">
        <v>81</v>
      </c>
      <c r="C60" s="16" t="s">
        <v>27</v>
      </c>
      <c r="D60" s="17">
        <v>55</v>
      </c>
      <c r="E60" s="18"/>
      <c r="F60" s="18"/>
      <c r="G60" s="18"/>
      <c r="H60" s="18"/>
      <c r="I60" s="18"/>
      <c r="J60" s="18"/>
      <c r="K60" s="19">
        <f t="shared" si="7"/>
        <v>0</v>
      </c>
      <c r="L60" s="19">
        <f t="shared" si="8"/>
        <v>0</v>
      </c>
      <c r="M60" s="20">
        <f t="shared" si="9"/>
        <v>0</v>
      </c>
      <c r="N60" s="21"/>
      <c r="O60" s="20">
        <f t="shared" si="10"/>
        <v>0</v>
      </c>
      <c r="P60" s="22"/>
      <c r="Q60" s="20">
        <f t="shared" si="11"/>
        <v>0</v>
      </c>
      <c r="R60" s="23">
        <f t="shared" si="12"/>
        <v>0</v>
      </c>
      <c r="S60" s="20">
        <f t="shared" si="13"/>
        <v>0</v>
      </c>
    </row>
    <row r="61" spans="1:19" x14ac:dyDescent="0.3">
      <c r="A61" s="16" t="s">
        <v>86</v>
      </c>
      <c r="B61" s="16" t="s">
        <v>81</v>
      </c>
      <c r="C61" s="16" t="s">
        <v>27</v>
      </c>
      <c r="D61" s="17">
        <v>35</v>
      </c>
      <c r="E61" s="18"/>
      <c r="F61" s="18"/>
      <c r="G61" s="18"/>
      <c r="H61" s="18"/>
      <c r="I61" s="18"/>
      <c r="J61" s="18"/>
      <c r="K61" s="19">
        <f t="shared" si="7"/>
        <v>0</v>
      </c>
      <c r="L61" s="19">
        <f t="shared" si="8"/>
        <v>0</v>
      </c>
      <c r="M61" s="20">
        <f t="shared" si="9"/>
        <v>0</v>
      </c>
      <c r="N61" s="21"/>
      <c r="O61" s="20">
        <f t="shared" si="10"/>
        <v>0</v>
      </c>
      <c r="P61" s="22"/>
      <c r="Q61" s="20">
        <f t="shared" si="11"/>
        <v>0</v>
      </c>
      <c r="R61" s="23">
        <f t="shared" si="12"/>
        <v>0</v>
      </c>
      <c r="S61" s="20">
        <f t="shared" si="13"/>
        <v>0</v>
      </c>
    </row>
    <row r="62" spans="1:19" x14ac:dyDescent="0.3">
      <c r="A62" s="16" t="s">
        <v>87</v>
      </c>
      <c r="B62" s="16" t="s">
        <v>81</v>
      </c>
      <c r="C62" s="16" t="s">
        <v>27</v>
      </c>
      <c r="D62" s="17">
        <v>45</v>
      </c>
      <c r="E62" s="18"/>
      <c r="F62" s="18"/>
      <c r="G62" s="18"/>
      <c r="H62" s="18"/>
      <c r="I62" s="18"/>
      <c r="J62" s="18"/>
      <c r="K62" s="19">
        <f t="shared" si="7"/>
        <v>0</v>
      </c>
      <c r="L62" s="19">
        <f t="shared" si="8"/>
        <v>0</v>
      </c>
      <c r="M62" s="20">
        <f t="shared" si="9"/>
        <v>0</v>
      </c>
      <c r="N62" s="21"/>
      <c r="O62" s="20">
        <f t="shared" si="10"/>
        <v>0</v>
      </c>
      <c r="P62" s="22"/>
      <c r="Q62" s="20">
        <f t="shared" si="11"/>
        <v>0</v>
      </c>
      <c r="R62" s="23">
        <f t="shared" si="12"/>
        <v>0</v>
      </c>
      <c r="S62" s="20">
        <f t="shared" si="13"/>
        <v>0</v>
      </c>
    </row>
    <row r="63" spans="1:19" ht="15" customHeight="1" x14ac:dyDescent="0.3">
      <c r="A63" s="12" t="s">
        <v>88</v>
      </c>
      <c r="B63" s="12"/>
      <c r="C63" s="12"/>
      <c r="D63" s="25"/>
      <c r="E63" s="25"/>
      <c r="F63" s="25"/>
      <c r="G63" s="25"/>
      <c r="H63" s="25"/>
      <c r="I63" s="25"/>
      <c r="J63" s="25"/>
      <c r="K63" s="25"/>
      <c r="L63" s="26">
        <f t="shared" ref="L63:S63" si="14">SUM(L4:L62)</f>
        <v>0</v>
      </c>
      <c r="M63" s="27">
        <f t="shared" si="14"/>
        <v>0</v>
      </c>
      <c r="N63" s="26">
        <f t="shared" si="14"/>
        <v>0</v>
      </c>
      <c r="O63" s="27">
        <f t="shared" si="14"/>
        <v>0</v>
      </c>
      <c r="P63" s="26">
        <f t="shared" si="14"/>
        <v>0</v>
      </c>
      <c r="Q63" s="27">
        <f t="shared" si="14"/>
        <v>0</v>
      </c>
      <c r="R63" s="26">
        <f t="shared" si="14"/>
        <v>0</v>
      </c>
      <c r="S63" s="27">
        <f t="shared" si="14"/>
        <v>0</v>
      </c>
    </row>
  </sheetData>
  <mergeCells count="3">
    <mergeCell ref="A1:S1"/>
    <mergeCell ref="A2:S2"/>
    <mergeCell ref="A63:C6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G186"/>
  <sheetViews>
    <sheetView tabSelected="1" zoomScaleNormal="100" workbookViewId="0">
      <pane xSplit="1" ySplit="2" topLeftCell="E159" activePane="bottomRight" state="frozen"/>
      <selection pane="topRight" activeCell="B1" sqref="B1"/>
      <selection pane="bottomLeft" activeCell="A3" sqref="A3"/>
      <selection pane="bottomRight" activeCell="AH102" sqref="AH102"/>
    </sheetView>
  </sheetViews>
  <sheetFormatPr defaultColWidth="8.6640625" defaultRowHeight="14.4" x14ac:dyDescent="0.3"/>
  <cols>
    <col min="1" max="1" width="47.5546875" customWidth="1"/>
    <col min="2" max="32" width="5" customWidth="1"/>
    <col min="33" max="33" width="10" customWidth="1"/>
  </cols>
  <sheetData>
    <row r="1" spans="1:33" ht="16.2" customHeight="1" x14ac:dyDescent="0.3">
      <c r="A1" s="11" t="s">
        <v>89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3">
      <c r="A2" s="28" t="s">
        <v>2</v>
      </c>
      <c r="B2" s="28">
        <v>1</v>
      </c>
      <c r="C2" s="28">
        <v>2</v>
      </c>
      <c r="D2" s="28">
        <v>3</v>
      </c>
      <c r="E2" s="28">
        <v>4</v>
      </c>
      <c r="F2" s="28">
        <v>5</v>
      </c>
      <c r="G2" s="28">
        <v>6</v>
      </c>
      <c r="H2" s="28">
        <v>7</v>
      </c>
      <c r="I2" s="28">
        <v>8</v>
      </c>
      <c r="J2" s="28">
        <v>9</v>
      </c>
      <c r="K2" s="28">
        <v>10</v>
      </c>
      <c r="L2" s="28">
        <v>11</v>
      </c>
      <c r="M2" s="28">
        <v>12</v>
      </c>
      <c r="N2" s="28">
        <v>13</v>
      </c>
      <c r="O2" s="28">
        <v>14</v>
      </c>
      <c r="P2" s="28">
        <v>15</v>
      </c>
      <c r="Q2" s="28">
        <v>16</v>
      </c>
      <c r="R2" s="28">
        <v>17</v>
      </c>
      <c r="S2" s="28">
        <v>18</v>
      </c>
      <c r="T2" s="28">
        <v>19</v>
      </c>
      <c r="U2" s="28">
        <v>20</v>
      </c>
      <c r="V2" s="28">
        <v>21</v>
      </c>
      <c r="W2" s="28">
        <v>22</v>
      </c>
      <c r="X2" s="28">
        <v>23</v>
      </c>
      <c r="Y2" s="28">
        <v>24</v>
      </c>
      <c r="Z2" s="28">
        <v>25</v>
      </c>
      <c r="AA2" s="28">
        <v>26</v>
      </c>
      <c r="AB2" s="28">
        <v>27</v>
      </c>
      <c r="AC2" s="28">
        <v>28</v>
      </c>
      <c r="AD2" s="28">
        <v>29</v>
      </c>
      <c r="AE2" s="28">
        <v>30</v>
      </c>
      <c r="AF2" s="28">
        <v>31</v>
      </c>
      <c r="AG2" s="28" t="s">
        <v>88</v>
      </c>
    </row>
    <row r="3" spans="1:33" x14ac:dyDescent="0.3">
      <c r="A3" s="114" t="s">
        <v>158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52">
        <f t="shared" ref="AG3:AG34" si="0">SUM(B3:AF3)</f>
        <v>0</v>
      </c>
    </row>
    <row r="4" spans="1:33" x14ac:dyDescent="0.3">
      <c r="A4" s="115" t="s">
        <v>159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52">
        <f t="shared" si="0"/>
        <v>0</v>
      </c>
    </row>
    <row r="5" spans="1:33" x14ac:dyDescent="0.3">
      <c r="A5" s="115" t="s">
        <v>160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52">
        <f t="shared" si="0"/>
        <v>0</v>
      </c>
    </row>
    <row r="6" spans="1:33" x14ac:dyDescent="0.3">
      <c r="A6" s="115" t="s">
        <v>161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52">
        <f t="shared" si="0"/>
        <v>0</v>
      </c>
    </row>
    <row r="7" spans="1:33" x14ac:dyDescent="0.3">
      <c r="A7" s="115" t="s">
        <v>162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52">
        <f t="shared" si="0"/>
        <v>0</v>
      </c>
    </row>
    <row r="8" spans="1:33" x14ac:dyDescent="0.3">
      <c r="A8" s="115" t="s">
        <v>163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52">
        <f t="shared" si="0"/>
        <v>0</v>
      </c>
    </row>
    <row r="9" spans="1:33" x14ac:dyDescent="0.3">
      <c r="A9" s="115" t="s">
        <v>164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52">
        <f t="shared" si="0"/>
        <v>0</v>
      </c>
    </row>
    <row r="10" spans="1:33" x14ac:dyDescent="0.3">
      <c r="A10" s="115" t="s">
        <v>165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52">
        <f t="shared" si="0"/>
        <v>0</v>
      </c>
    </row>
    <row r="11" spans="1:33" x14ac:dyDescent="0.3">
      <c r="A11" s="115" t="s">
        <v>166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52">
        <f t="shared" si="0"/>
        <v>0</v>
      </c>
    </row>
    <row r="12" spans="1:33" x14ac:dyDescent="0.3">
      <c r="A12" s="115" t="s">
        <v>167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52">
        <f t="shared" si="0"/>
        <v>0</v>
      </c>
    </row>
    <row r="13" spans="1:33" x14ac:dyDescent="0.3">
      <c r="A13" s="115" t="s">
        <v>168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52">
        <f t="shared" si="0"/>
        <v>0</v>
      </c>
    </row>
    <row r="14" spans="1:33" x14ac:dyDescent="0.3">
      <c r="A14" s="116" t="s">
        <v>169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52">
        <f t="shared" si="0"/>
        <v>0</v>
      </c>
    </row>
    <row r="15" spans="1:33" x14ac:dyDescent="0.3">
      <c r="A15" s="116" t="s">
        <v>170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52">
        <f t="shared" si="0"/>
        <v>0</v>
      </c>
    </row>
    <row r="16" spans="1:33" x14ac:dyDescent="0.3">
      <c r="A16" s="116" t="s">
        <v>171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52">
        <f t="shared" si="0"/>
        <v>0</v>
      </c>
    </row>
    <row r="17" spans="1:33" x14ac:dyDescent="0.3">
      <c r="A17" s="116" t="s">
        <v>172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52">
        <f t="shared" si="0"/>
        <v>0</v>
      </c>
    </row>
    <row r="18" spans="1:33" x14ac:dyDescent="0.3">
      <c r="A18" s="116" t="s">
        <v>173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52">
        <f t="shared" si="0"/>
        <v>0</v>
      </c>
    </row>
    <row r="19" spans="1:33" x14ac:dyDescent="0.3">
      <c r="A19" s="114" t="s">
        <v>174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52">
        <f t="shared" si="0"/>
        <v>0</v>
      </c>
    </row>
    <row r="20" spans="1:33" x14ac:dyDescent="0.3">
      <c r="A20" s="115" t="s">
        <v>175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52">
        <f t="shared" si="0"/>
        <v>0</v>
      </c>
    </row>
    <row r="21" spans="1:33" x14ac:dyDescent="0.3">
      <c r="A21" s="115" t="s">
        <v>176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52">
        <f t="shared" si="0"/>
        <v>0</v>
      </c>
    </row>
    <row r="22" spans="1:33" x14ac:dyDescent="0.3">
      <c r="A22" s="115" t="s">
        <v>177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52">
        <f t="shared" si="0"/>
        <v>0</v>
      </c>
    </row>
    <row r="23" spans="1:33" x14ac:dyDescent="0.3">
      <c r="A23" s="115" t="s">
        <v>178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52">
        <f t="shared" si="0"/>
        <v>0</v>
      </c>
    </row>
    <row r="24" spans="1:33" x14ac:dyDescent="0.3">
      <c r="A24" s="115" t="s">
        <v>179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52">
        <f t="shared" si="0"/>
        <v>0</v>
      </c>
    </row>
    <row r="25" spans="1:33" x14ac:dyDescent="0.3">
      <c r="A25" s="115" t="s">
        <v>180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52">
        <f t="shared" si="0"/>
        <v>0</v>
      </c>
    </row>
    <row r="26" spans="1:33" x14ac:dyDescent="0.3">
      <c r="A26" s="115" t="s">
        <v>181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52">
        <f t="shared" si="0"/>
        <v>0</v>
      </c>
    </row>
    <row r="27" spans="1:33" x14ac:dyDescent="0.3">
      <c r="A27" s="115" t="s">
        <v>182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52">
        <f t="shared" si="0"/>
        <v>0</v>
      </c>
    </row>
    <row r="28" spans="1:33" x14ac:dyDescent="0.3">
      <c r="A28" s="115" t="s">
        <v>183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52">
        <f t="shared" si="0"/>
        <v>0</v>
      </c>
    </row>
    <row r="29" spans="1:33" x14ac:dyDescent="0.3">
      <c r="A29" s="115" t="s">
        <v>184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52">
        <f t="shared" si="0"/>
        <v>0</v>
      </c>
    </row>
    <row r="30" spans="1:33" x14ac:dyDescent="0.3">
      <c r="A30" s="116" t="s">
        <v>185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52">
        <f t="shared" si="0"/>
        <v>0</v>
      </c>
    </row>
    <row r="31" spans="1:33" x14ac:dyDescent="0.3">
      <c r="A31" s="116" t="s">
        <v>186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52">
        <f t="shared" si="0"/>
        <v>0</v>
      </c>
    </row>
    <row r="32" spans="1:33" x14ac:dyDescent="0.3">
      <c r="A32" s="116" t="s">
        <v>187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52">
        <f t="shared" si="0"/>
        <v>0</v>
      </c>
    </row>
    <row r="33" spans="1:33" x14ac:dyDescent="0.3">
      <c r="A33" s="116" t="s">
        <v>188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52">
        <f t="shared" si="0"/>
        <v>0</v>
      </c>
    </row>
    <row r="34" spans="1:33" x14ac:dyDescent="0.3">
      <c r="A34" s="116" t="s">
        <v>189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52">
        <f t="shared" si="0"/>
        <v>0</v>
      </c>
    </row>
    <row r="35" spans="1:33" x14ac:dyDescent="0.3">
      <c r="A35" s="114" t="s">
        <v>190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52">
        <f t="shared" ref="AG35:AG66" si="1">SUM(B35:AF35)</f>
        <v>0</v>
      </c>
    </row>
    <row r="36" spans="1:33" x14ac:dyDescent="0.3">
      <c r="A36" s="115" t="s">
        <v>191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52">
        <f t="shared" si="1"/>
        <v>0</v>
      </c>
    </row>
    <row r="37" spans="1:33" x14ac:dyDescent="0.3">
      <c r="A37" s="115" t="s">
        <v>192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52">
        <f t="shared" si="1"/>
        <v>0</v>
      </c>
    </row>
    <row r="38" spans="1:33" x14ac:dyDescent="0.3">
      <c r="A38" s="115" t="s">
        <v>193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52">
        <f t="shared" si="1"/>
        <v>0</v>
      </c>
    </row>
    <row r="39" spans="1:33" x14ac:dyDescent="0.3">
      <c r="A39" s="115" t="s">
        <v>194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52">
        <f t="shared" si="1"/>
        <v>0</v>
      </c>
    </row>
    <row r="40" spans="1:33" x14ac:dyDescent="0.3">
      <c r="A40" s="115" t="s">
        <v>195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52">
        <f t="shared" si="1"/>
        <v>0</v>
      </c>
    </row>
    <row r="41" spans="1:33" x14ac:dyDescent="0.3">
      <c r="A41" s="115" t="s">
        <v>196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52">
        <f t="shared" si="1"/>
        <v>0</v>
      </c>
    </row>
    <row r="42" spans="1:33" x14ac:dyDescent="0.3">
      <c r="A42" s="115" t="s">
        <v>197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52">
        <f t="shared" si="1"/>
        <v>0</v>
      </c>
    </row>
    <row r="43" spans="1:33" x14ac:dyDescent="0.3">
      <c r="A43" s="115" t="s">
        <v>198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52">
        <f t="shared" si="1"/>
        <v>0</v>
      </c>
    </row>
    <row r="44" spans="1:33" x14ac:dyDescent="0.3">
      <c r="A44" s="115" t="s">
        <v>199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52">
        <f t="shared" si="1"/>
        <v>0</v>
      </c>
    </row>
    <row r="45" spans="1:33" x14ac:dyDescent="0.3">
      <c r="A45" s="115" t="s">
        <v>200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52">
        <f t="shared" si="1"/>
        <v>0</v>
      </c>
    </row>
    <row r="46" spans="1:33" x14ac:dyDescent="0.3">
      <c r="A46" s="116" t="s">
        <v>201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52">
        <f t="shared" si="1"/>
        <v>0</v>
      </c>
    </row>
    <row r="47" spans="1:33" x14ac:dyDescent="0.3">
      <c r="A47" s="116" t="s">
        <v>202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52">
        <f t="shared" si="1"/>
        <v>0</v>
      </c>
    </row>
    <row r="48" spans="1:33" x14ac:dyDescent="0.3">
      <c r="A48" s="116" t="s">
        <v>203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52">
        <f t="shared" si="1"/>
        <v>0</v>
      </c>
    </row>
    <row r="49" spans="1:33" x14ac:dyDescent="0.3">
      <c r="A49" s="116" t="s">
        <v>204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52">
        <f t="shared" si="1"/>
        <v>0</v>
      </c>
    </row>
    <row r="50" spans="1:33" x14ac:dyDescent="0.3">
      <c r="A50" s="117" t="s">
        <v>205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52">
        <f t="shared" si="1"/>
        <v>0</v>
      </c>
    </row>
    <row r="51" spans="1:33" x14ac:dyDescent="0.3">
      <c r="A51" s="114" t="s">
        <v>206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52">
        <f t="shared" si="1"/>
        <v>0</v>
      </c>
    </row>
    <row r="52" spans="1:33" x14ac:dyDescent="0.3">
      <c r="A52" s="115" t="s">
        <v>207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52">
        <f t="shared" si="1"/>
        <v>0</v>
      </c>
    </row>
    <row r="53" spans="1:33" x14ac:dyDescent="0.3">
      <c r="A53" s="115" t="s">
        <v>208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52">
        <f t="shared" si="1"/>
        <v>0</v>
      </c>
    </row>
    <row r="54" spans="1:33" x14ac:dyDescent="0.3">
      <c r="A54" s="115" t="s">
        <v>209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52">
        <f t="shared" si="1"/>
        <v>0</v>
      </c>
    </row>
    <row r="55" spans="1:33" x14ac:dyDescent="0.3">
      <c r="A55" s="115" t="s">
        <v>210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52">
        <f t="shared" si="1"/>
        <v>0</v>
      </c>
    </row>
    <row r="56" spans="1:33" x14ac:dyDescent="0.3">
      <c r="A56" s="115" t="s">
        <v>211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52">
        <f t="shared" si="1"/>
        <v>0</v>
      </c>
    </row>
    <row r="57" spans="1:33" x14ac:dyDescent="0.3">
      <c r="A57" s="115" t="s">
        <v>212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52">
        <f t="shared" si="1"/>
        <v>0</v>
      </c>
    </row>
    <row r="58" spans="1:33" x14ac:dyDescent="0.3">
      <c r="A58" s="115" t="s">
        <v>213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52">
        <f t="shared" si="1"/>
        <v>0</v>
      </c>
    </row>
    <row r="59" spans="1:33" x14ac:dyDescent="0.3">
      <c r="A59" s="115" t="s">
        <v>214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52">
        <f t="shared" si="1"/>
        <v>0</v>
      </c>
    </row>
    <row r="60" spans="1:33" x14ac:dyDescent="0.3">
      <c r="A60" s="115" t="s">
        <v>215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52">
        <f t="shared" si="1"/>
        <v>0</v>
      </c>
    </row>
    <row r="61" spans="1:33" x14ac:dyDescent="0.3">
      <c r="A61" s="67" t="s">
        <v>216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</row>
    <row r="62" spans="1:33" x14ac:dyDescent="0.3">
      <c r="A62" s="67" t="s">
        <v>217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</row>
    <row r="63" spans="1:33" x14ac:dyDescent="0.3">
      <c r="A63" s="67" t="s">
        <v>218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</row>
    <row r="64" spans="1:33" x14ac:dyDescent="0.3">
      <c r="A64" s="68" t="s">
        <v>219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</row>
    <row r="65" spans="1:33" x14ac:dyDescent="0.3">
      <c r="A65" s="114" t="s">
        <v>220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</row>
    <row r="66" spans="1:33" x14ac:dyDescent="0.3">
      <c r="A66" s="115" t="s">
        <v>221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</row>
    <row r="67" spans="1:33" x14ac:dyDescent="0.3">
      <c r="A67" s="115" t="s">
        <v>222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</row>
    <row r="68" spans="1:33" x14ac:dyDescent="0.3">
      <c r="A68" s="115" t="s">
        <v>223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</row>
    <row r="69" spans="1:33" x14ac:dyDescent="0.3">
      <c r="A69" s="115" t="s">
        <v>224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</row>
    <row r="70" spans="1:33" x14ac:dyDescent="0.3">
      <c r="A70" s="115" t="s">
        <v>225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</row>
    <row r="71" spans="1:33" x14ac:dyDescent="0.3">
      <c r="A71" s="115" t="s">
        <v>226</v>
      </c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</row>
    <row r="72" spans="1:33" x14ac:dyDescent="0.3">
      <c r="A72" s="117" t="s">
        <v>227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</row>
    <row r="73" spans="1:33" x14ac:dyDescent="0.3">
      <c r="A73" s="117" t="s">
        <v>228</v>
      </c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</row>
    <row r="74" spans="1:33" x14ac:dyDescent="0.3">
      <c r="A74" s="117" t="s">
        <v>229</v>
      </c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</row>
    <row r="75" spans="1:33" x14ac:dyDescent="0.3">
      <c r="A75" s="114" t="s">
        <v>230</v>
      </c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</row>
    <row r="76" spans="1:33" x14ac:dyDescent="0.3">
      <c r="A76" s="115" t="s">
        <v>231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</row>
    <row r="77" spans="1:33" x14ac:dyDescent="0.3">
      <c r="A77" s="115" t="s">
        <v>232</v>
      </c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</row>
    <row r="78" spans="1:33" x14ac:dyDescent="0.3">
      <c r="A78" s="115" t="s">
        <v>233</v>
      </c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</row>
    <row r="79" spans="1:33" x14ac:dyDescent="0.3">
      <c r="A79" s="115" t="s">
        <v>234</v>
      </c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</row>
    <row r="80" spans="1:33" x14ac:dyDescent="0.3">
      <c r="A80" s="117" t="s">
        <v>235</v>
      </c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</row>
    <row r="81" spans="1:33" x14ac:dyDescent="0.3">
      <c r="A81" s="114" t="s">
        <v>236</v>
      </c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</row>
    <row r="82" spans="1:33" x14ac:dyDescent="0.3">
      <c r="A82" s="115" t="s">
        <v>237</v>
      </c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</row>
    <row r="83" spans="1:33" x14ac:dyDescent="0.3">
      <c r="A83" s="115" t="s">
        <v>238</v>
      </c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</row>
    <row r="84" spans="1:33" x14ac:dyDescent="0.3">
      <c r="A84" s="114" t="s">
        <v>239</v>
      </c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</row>
    <row r="85" spans="1:33" x14ac:dyDescent="0.3">
      <c r="A85" s="117" t="s">
        <v>240</v>
      </c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</row>
    <row r="86" spans="1:33" x14ac:dyDescent="0.3">
      <c r="A86" s="117" t="s">
        <v>241</v>
      </c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</row>
    <row r="87" spans="1:33" x14ac:dyDescent="0.3">
      <c r="A87" s="114" t="s">
        <v>242</v>
      </c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</row>
    <row r="88" spans="1:33" x14ac:dyDescent="0.3">
      <c r="A88" s="115" t="s">
        <v>243</v>
      </c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</row>
    <row r="89" spans="1:33" x14ac:dyDescent="0.3">
      <c r="A89" s="115" t="s">
        <v>244</v>
      </c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</row>
    <row r="90" spans="1:33" x14ac:dyDescent="0.3">
      <c r="A90" s="115" t="s">
        <v>245</v>
      </c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</row>
    <row r="91" spans="1:33" x14ac:dyDescent="0.3">
      <c r="A91" s="114" t="s">
        <v>246</v>
      </c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</row>
    <row r="92" spans="1:33" x14ac:dyDescent="0.3">
      <c r="A92" s="115" t="s">
        <v>247</v>
      </c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</row>
    <row r="93" spans="1:33" x14ac:dyDescent="0.3">
      <c r="A93" s="115" t="s">
        <v>248</v>
      </c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</row>
    <row r="94" spans="1:33" x14ac:dyDescent="0.3">
      <c r="A94" s="117" t="s">
        <v>249</v>
      </c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</row>
    <row r="95" spans="1:33" x14ac:dyDescent="0.3">
      <c r="A95" s="117" t="s">
        <v>250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</row>
    <row r="96" spans="1:33" x14ac:dyDescent="0.3">
      <c r="A96" s="117" t="s">
        <v>251</v>
      </c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</row>
    <row r="97" spans="1:33" x14ac:dyDescent="0.3">
      <c r="A97" s="117" t="s">
        <v>252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</row>
    <row r="98" spans="1:33" x14ac:dyDescent="0.3">
      <c r="A98" s="114" t="s">
        <v>253</v>
      </c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</row>
    <row r="99" spans="1:33" x14ac:dyDescent="0.3">
      <c r="A99" s="115" t="s">
        <v>254</v>
      </c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</row>
    <row r="100" spans="1:33" x14ac:dyDescent="0.3">
      <c r="A100" s="115" t="s">
        <v>255</v>
      </c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</row>
    <row r="101" spans="1:33" x14ac:dyDescent="0.3">
      <c r="A101" s="115" t="s">
        <v>256</v>
      </c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</row>
    <row r="102" spans="1:33" x14ac:dyDescent="0.3">
      <c r="A102" s="115" t="s">
        <v>257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</row>
    <row r="103" spans="1:33" x14ac:dyDescent="0.3">
      <c r="A103" s="114" t="s">
        <v>258</v>
      </c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</row>
    <row r="104" spans="1:33" x14ac:dyDescent="0.3">
      <c r="A104" s="115" t="s">
        <v>259</v>
      </c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</row>
    <row r="105" spans="1:33" x14ac:dyDescent="0.3">
      <c r="A105" s="115" t="s">
        <v>260</v>
      </c>
      <c r="B105" s="30"/>
      <c r="C105" s="30"/>
      <c r="D105" s="30"/>
      <c r="E105" s="30"/>
      <c r="F105" s="30"/>
      <c r="G105" s="30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</row>
    <row r="106" spans="1:33" x14ac:dyDescent="0.3">
      <c r="A106" s="115" t="s">
        <v>261</v>
      </c>
      <c r="B106" s="30"/>
      <c r="C106" s="30"/>
      <c r="D106" s="30"/>
      <c r="E106" s="30"/>
      <c r="F106" s="30"/>
      <c r="G106" s="3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</row>
    <row r="107" spans="1:33" x14ac:dyDescent="0.3">
      <c r="A107" s="115"/>
      <c r="B107" s="30"/>
      <c r="C107" s="49"/>
      <c r="D107" s="50"/>
      <c r="E107" s="51"/>
      <c r="F107" s="51"/>
      <c r="G107" s="3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</row>
    <row r="108" spans="1:33" x14ac:dyDescent="0.3">
      <c r="A108" s="114" t="s">
        <v>262</v>
      </c>
      <c r="B108" s="30"/>
      <c r="C108" s="49"/>
      <c r="D108" s="51"/>
      <c r="E108" s="50"/>
      <c r="F108" s="51"/>
      <c r="G108" s="3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</row>
    <row r="109" spans="1:33" x14ac:dyDescent="0.3">
      <c r="A109" s="115" t="s">
        <v>263</v>
      </c>
      <c r="B109" s="30"/>
      <c r="C109" s="49"/>
      <c r="D109" s="51"/>
      <c r="E109" s="51"/>
      <c r="F109" s="51"/>
      <c r="G109" s="3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</row>
    <row r="110" spans="1:33" x14ac:dyDescent="0.3">
      <c r="A110" s="115" t="s">
        <v>264</v>
      </c>
      <c r="B110" s="30"/>
      <c r="C110" s="49"/>
      <c r="D110" s="51"/>
      <c r="E110" s="51"/>
      <c r="F110" s="51"/>
      <c r="G110" s="3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</row>
    <row r="111" spans="1:33" x14ac:dyDescent="0.3">
      <c r="A111" s="115" t="s">
        <v>265</v>
      </c>
      <c r="B111" s="30"/>
      <c r="C111" s="49"/>
      <c r="D111" s="51"/>
      <c r="E111" s="51"/>
      <c r="F111" s="51"/>
      <c r="G111" s="3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</row>
    <row r="112" spans="1:33" x14ac:dyDescent="0.3">
      <c r="A112" s="115" t="s">
        <v>266</v>
      </c>
      <c r="B112" s="30"/>
      <c r="C112" s="49"/>
      <c r="D112" s="51"/>
      <c r="E112" s="51"/>
      <c r="F112" s="51"/>
      <c r="G112" s="3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</row>
    <row r="113" spans="1:33" x14ac:dyDescent="0.3">
      <c r="A113" s="115" t="s">
        <v>267</v>
      </c>
      <c r="B113" s="30"/>
      <c r="C113" s="49"/>
      <c r="D113" s="51"/>
      <c r="E113" s="51"/>
      <c r="F113" s="51"/>
      <c r="G113" s="3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</row>
    <row r="114" spans="1:33" x14ac:dyDescent="0.3">
      <c r="A114" s="115" t="s">
        <v>268</v>
      </c>
      <c r="B114" s="30"/>
      <c r="C114" s="49"/>
      <c r="D114" s="51"/>
      <c r="E114" s="51"/>
      <c r="F114" s="51"/>
      <c r="G114" s="3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</row>
    <row r="115" spans="1:33" x14ac:dyDescent="0.3">
      <c r="A115" s="115" t="s">
        <v>269</v>
      </c>
      <c r="B115" s="30"/>
      <c r="C115" s="49"/>
      <c r="D115" s="51"/>
      <c r="E115" s="51"/>
      <c r="F115" s="51"/>
      <c r="G115" s="3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</row>
    <row r="116" spans="1:33" x14ac:dyDescent="0.3">
      <c r="A116" s="115" t="s">
        <v>270</v>
      </c>
      <c r="B116" s="30"/>
      <c r="C116" s="49"/>
      <c r="D116" s="51"/>
      <c r="E116" s="51"/>
      <c r="F116" s="51"/>
      <c r="G116" s="3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</row>
    <row r="117" spans="1:33" x14ac:dyDescent="0.3">
      <c r="A117" s="114" t="s">
        <v>271</v>
      </c>
      <c r="B117" s="30"/>
      <c r="C117" s="49"/>
      <c r="D117" s="51"/>
      <c r="E117" s="51"/>
      <c r="F117" s="51"/>
      <c r="G117" s="3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</row>
    <row r="118" spans="1:33" x14ac:dyDescent="0.3">
      <c r="A118" s="115" t="s">
        <v>272</v>
      </c>
      <c r="B118" s="30"/>
      <c r="C118" s="49"/>
      <c r="D118" s="51"/>
      <c r="E118" s="51"/>
      <c r="F118" s="51"/>
      <c r="G118" s="3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</row>
    <row r="119" spans="1:33" x14ac:dyDescent="0.3">
      <c r="A119" s="115" t="s">
        <v>273</v>
      </c>
      <c r="B119" s="30"/>
      <c r="C119" s="49"/>
      <c r="D119" s="51"/>
      <c r="E119" s="51"/>
      <c r="F119" s="51"/>
      <c r="G119" s="3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</row>
    <row r="120" spans="1:33" x14ac:dyDescent="0.3">
      <c r="A120" s="115" t="s">
        <v>274</v>
      </c>
      <c r="B120" s="30"/>
      <c r="C120" s="49"/>
      <c r="D120" s="51"/>
      <c r="E120" s="51"/>
      <c r="F120" s="51"/>
      <c r="G120" s="3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</row>
    <row r="121" spans="1:33" x14ac:dyDescent="0.3">
      <c r="A121" s="115" t="s">
        <v>275</v>
      </c>
      <c r="B121" s="30"/>
      <c r="C121" s="49"/>
      <c r="D121" s="51"/>
      <c r="E121" s="51"/>
      <c r="F121" s="51"/>
      <c r="G121" s="3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</row>
    <row r="122" spans="1:33" x14ac:dyDescent="0.3">
      <c r="A122" s="115" t="s">
        <v>276</v>
      </c>
      <c r="B122" s="30"/>
      <c r="C122" s="49"/>
      <c r="D122" s="51"/>
      <c r="E122" s="51"/>
      <c r="F122" s="51"/>
      <c r="G122" s="3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</row>
    <row r="123" spans="1:33" x14ac:dyDescent="0.3">
      <c r="A123" s="116" t="s">
        <v>277</v>
      </c>
      <c r="B123" s="30"/>
      <c r="C123" s="49"/>
      <c r="D123" s="51"/>
      <c r="E123" s="51"/>
      <c r="F123" s="51"/>
      <c r="G123" s="3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</row>
    <row r="124" spans="1:33" x14ac:dyDescent="0.3">
      <c r="A124" s="114" t="s">
        <v>284</v>
      </c>
      <c r="B124" s="30"/>
      <c r="C124" s="49"/>
      <c r="D124" s="51"/>
      <c r="E124" s="50"/>
      <c r="F124" s="51"/>
      <c r="G124" s="3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</row>
    <row r="125" spans="1:33" x14ac:dyDescent="0.3">
      <c r="A125" s="115" t="s">
        <v>278</v>
      </c>
      <c r="B125" s="30"/>
      <c r="C125" s="49"/>
      <c r="D125" s="51"/>
      <c r="E125" s="50"/>
      <c r="F125" s="51"/>
      <c r="G125" s="3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</row>
    <row r="126" spans="1:33" x14ac:dyDescent="0.3">
      <c r="A126" s="115" t="s">
        <v>279</v>
      </c>
      <c r="B126" s="30"/>
      <c r="C126" s="49"/>
      <c r="D126" s="51"/>
      <c r="E126" s="50"/>
      <c r="F126" s="51"/>
      <c r="G126" s="3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</row>
    <row r="127" spans="1:33" x14ac:dyDescent="0.3">
      <c r="A127" s="115" t="s">
        <v>280</v>
      </c>
      <c r="B127" s="30"/>
      <c r="C127" s="49"/>
      <c r="D127" s="51"/>
      <c r="E127" s="50"/>
      <c r="F127" s="50"/>
      <c r="G127" s="3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</row>
    <row r="128" spans="1:33" x14ac:dyDescent="0.3">
      <c r="A128" s="115" t="s">
        <v>281</v>
      </c>
      <c r="B128" s="30"/>
      <c r="C128" s="49"/>
      <c r="D128" s="51"/>
      <c r="E128" s="50"/>
      <c r="F128" s="50"/>
      <c r="G128" s="3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</row>
    <row r="129" spans="1:33" x14ac:dyDescent="0.3">
      <c r="A129" s="115" t="s">
        <v>282</v>
      </c>
      <c r="B129" s="30"/>
      <c r="C129" s="49"/>
      <c r="D129" s="51"/>
      <c r="E129" s="50"/>
      <c r="F129" s="50"/>
      <c r="G129" s="3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</row>
    <row r="130" spans="1:33" x14ac:dyDescent="0.3">
      <c r="A130" s="116" t="s">
        <v>283</v>
      </c>
      <c r="B130" s="30"/>
      <c r="C130" s="49"/>
      <c r="D130" s="51"/>
      <c r="E130" s="50"/>
      <c r="F130" s="50"/>
      <c r="G130" s="3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</row>
    <row r="131" spans="1:33" x14ac:dyDescent="0.3">
      <c r="A131" s="114" t="s">
        <v>285</v>
      </c>
      <c r="B131" s="30"/>
      <c r="C131" s="49"/>
      <c r="D131" s="51"/>
      <c r="E131" s="50"/>
      <c r="F131" s="50"/>
      <c r="G131" s="3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</row>
    <row r="132" spans="1:33" x14ac:dyDescent="0.3">
      <c r="A132" s="115" t="s">
        <v>286</v>
      </c>
      <c r="B132" s="30"/>
      <c r="C132" s="49"/>
      <c r="D132" s="51"/>
      <c r="E132" s="50"/>
      <c r="F132" s="50"/>
      <c r="G132" s="3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</row>
    <row r="133" spans="1:33" x14ac:dyDescent="0.3">
      <c r="A133" s="115" t="s">
        <v>287</v>
      </c>
      <c r="B133" s="30"/>
      <c r="C133" s="49"/>
      <c r="D133" s="51"/>
      <c r="E133" s="50"/>
      <c r="F133" s="50"/>
      <c r="G133" s="3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</row>
    <row r="134" spans="1:33" x14ac:dyDescent="0.3">
      <c r="A134" s="115" t="s">
        <v>288</v>
      </c>
      <c r="B134" s="30"/>
      <c r="C134" s="49"/>
      <c r="D134" s="51"/>
      <c r="E134" s="50"/>
      <c r="F134" s="50"/>
      <c r="G134" s="3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</row>
    <row r="135" spans="1:33" x14ac:dyDescent="0.3">
      <c r="A135" s="115" t="s">
        <v>289</v>
      </c>
      <c r="B135" s="30"/>
      <c r="C135" s="49"/>
      <c r="D135" s="51"/>
      <c r="E135" s="50"/>
      <c r="F135" s="50"/>
      <c r="G135" s="3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</row>
    <row r="136" spans="1:33" x14ac:dyDescent="0.3">
      <c r="A136" s="115" t="s">
        <v>290</v>
      </c>
      <c r="B136" s="30"/>
      <c r="C136" s="49"/>
      <c r="D136" s="51"/>
      <c r="E136" s="50"/>
      <c r="F136" s="50"/>
      <c r="G136" s="3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</row>
    <row r="137" spans="1:33" x14ac:dyDescent="0.3">
      <c r="A137" s="116" t="s">
        <v>291</v>
      </c>
      <c r="B137" s="30"/>
      <c r="C137" s="49"/>
      <c r="D137" s="51"/>
      <c r="E137" s="50"/>
      <c r="F137" s="50"/>
      <c r="G137" s="3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</row>
    <row r="138" spans="1:33" x14ac:dyDescent="0.3">
      <c r="A138" s="114" t="s">
        <v>292</v>
      </c>
      <c r="B138" s="30"/>
      <c r="C138" s="49"/>
      <c r="D138" s="51"/>
      <c r="E138" s="50"/>
      <c r="F138" s="50"/>
      <c r="G138" s="3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</row>
    <row r="139" spans="1:33" x14ac:dyDescent="0.3">
      <c r="A139" s="115" t="s">
        <v>293</v>
      </c>
      <c r="B139" s="30"/>
      <c r="C139" s="49"/>
      <c r="D139" s="51"/>
      <c r="E139" s="50"/>
      <c r="F139" s="50"/>
      <c r="G139" s="3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</row>
    <row r="140" spans="1:33" x14ac:dyDescent="0.3">
      <c r="A140" s="115" t="s">
        <v>294</v>
      </c>
      <c r="B140" s="30"/>
      <c r="C140" s="49"/>
      <c r="D140" s="51"/>
      <c r="E140" s="50"/>
      <c r="F140" s="50"/>
      <c r="G140" s="3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</row>
    <row r="141" spans="1:33" x14ac:dyDescent="0.3">
      <c r="A141" s="115" t="s">
        <v>295</v>
      </c>
      <c r="B141" s="30"/>
      <c r="C141" s="49"/>
      <c r="D141" s="51"/>
      <c r="E141" s="50"/>
      <c r="F141" s="50"/>
      <c r="G141" s="3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</row>
    <row r="142" spans="1:33" x14ac:dyDescent="0.3">
      <c r="A142" s="116" t="s">
        <v>296</v>
      </c>
      <c r="B142" s="30"/>
      <c r="C142" s="49"/>
      <c r="D142" s="51"/>
      <c r="E142" s="50"/>
      <c r="F142" s="50"/>
      <c r="G142" s="3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</row>
    <row r="143" spans="1:33" x14ac:dyDescent="0.3">
      <c r="A143" s="115" t="s">
        <v>297</v>
      </c>
      <c r="B143" s="30"/>
      <c r="C143" s="49"/>
      <c r="D143" s="51"/>
      <c r="E143" s="50"/>
      <c r="F143" s="50"/>
      <c r="G143" s="3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</row>
    <row r="144" spans="1:33" x14ac:dyDescent="0.3">
      <c r="A144" s="115" t="s">
        <v>298</v>
      </c>
      <c r="B144" s="30"/>
      <c r="C144" s="49"/>
      <c r="D144" s="51"/>
      <c r="E144" s="50"/>
      <c r="F144" s="50"/>
      <c r="G144" s="3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</row>
    <row r="145" spans="1:33" x14ac:dyDescent="0.3">
      <c r="A145" s="116" t="s">
        <v>299</v>
      </c>
      <c r="B145" s="30"/>
      <c r="C145" s="49"/>
      <c r="D145" s="51"/>
      <c r="E145" s="50"/>
      <c r="F145" s="50"/>
      <c r="G145" s="3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</row>
    <row r="146" spans="1:33" x14ac:dyDescent="0.3">
      <c r="A146" s="117" t="s">
        <v>156</v>
      </c>
      <c r="B146" s="30"/>
      <c r="C146" s="49"/>
      <c r="D146" s="51"/>
      <c r="E146" s="50"/>
      <c r="F146" s="50"/>
      <c r="G146" s="3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</row>
    <row r="147" spans="1:33" x14ac:dyDescent="0.3">
      <c r="A147" s="117" t="s">
        <v>300</v>
      </c>
      <c r="B147" s="30"/>
      <c r="C147" s="49"/>
      <c r="D147" s="51"/>
      <c r="E147" s="50"/>
      <c r="F147" s="50"/>
      <c r="G147" s="3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</row>
    <row r="148" spans="1:33" x14ac:dyDescent="0.3">
      <c r="A148" s="117" t="s">
        <v>301</v>
      </c>
      <c r="B148" s="30"/>
      <c r="C148" s="49"/>
      <c r="D148" s="51"/>
      <c r="E148" s="50"/>
      <c r="F148" s="50"/>
      <c r="G148" s="3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</row>
    <row r="149" spans="1:33" x14ac:dyDescent="0.3">
      <c r="A149" s="117" t="s">
        <v>302</v>
      </c>
      <c r="B149" s="30"/>
      <c r="C149" s="49"/>
      <c r="D149" s="51"/>
      <c r="E149" s="50"/>
      <c r="F149" s="50"/>
      <c r="G149" s="3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</row>
    <row r="150" spans="1:33" x14ac:dyDescent="0.3">
      <c r="A150" s="117" t="s">
        <v>303</v>
      </c>
      <c r="B150" s="30"/>
      <c r="C150" s="49"/>
      <c r="D150" s="51"/>
      <c r="E150" s="50"/>
      <c r="F150" s="50"/>
      <c r="G150" s="3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</row>
    <row r="151" spans="1:33" x14ac:dyDescent="0.3">
      <c r="B151" s="30"/>
      <c r="C151" s="49"/>
      <c r="D151" s="51"/>
      <c r="E151" s="50"/>
      <c r="F151" s="50"/>
      <c r="G151" s="3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</row>
    <row r="152" spans="1:33" x14ac:dyDescent="0.3">
      <c r="A152" s="114" t="s">
        <v>304</v>
      </c>
      <c r="B152" s="30"/>
      <c r="C152" s="49"/>
      <c r="D152" s="51"/>
      <c r="E152" s="50"/>
      <c r="F152" s="50"/>
      <c r="G152" s="3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</row>
    <row r="153" spans="1:33" x14ac:dyDescent="0.3">
      <c r="A153" s="116" t="s">
        <v>305</v>
      </c>
      <c r="B153" s="30"/>
      <c r="C153" s="49"/>
      <c r="D153" s="51"/>
      <c r="E153" s="50"/>
      <c r="F153" s="50"/>
      <c r="G153" s="3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</row>
    <row r="154" spans="1:33" x14ac:dyDescent="0.3">
      <c r="A154" s="116" t="s">
        <v>306</v>
      </c>
      <c r="B154" s="30"/>
      <c r="C154" s="49"/>
      <c r="D154" s="51"/>
      <c r="E154" s="50"/>
      <c r="F154" s="50"/>
      <c r="G154" s="3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</row>
    <row r="155" spans="1:33" x14ac:dyDescent="0.3">
      <c r="A155" s="114" t="s">
        <v>307</v>
      </c>
      <c r="B155" s="30"/>
      <c r="C155" s="49"/>
      <c r="D155" s="51"/>
      <c r="E155" s="50"/>
      <c r="F155" s="50"/>
      <c r="G155" s="3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</row>
    <row r="156" spans="1:33" x14ac:dyDescent="0.3">
      <c r="A156" s="67" t="s">
        <v>308</v>
      </c>
      <c r="B156" s="51"/>
      <c r="C156" s="51"/>
      <c r="D156" s="50"/>
      <c r="E156" s="50"/>
      <c r="F156" s="50"/>
      <c r="G156" s="51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</row>
    <row r="157" spans="1:33" x14ac:dyDescent="0.3">
      <c r="A157" s="119" t="s">
        <v>309</v>
      </c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</row>
    <row r="158" spans="1:33" x14ac:dyDescent="0.3">
      <c r="A158" s="119" t="s">
        <v>310</v>
      </c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</row>
    <row r="159" spans="1:33" x14ac:dyDescent="0.3">
      <c r="A159" s="119" t="s">
        <v>311</v>
      </c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</row>
    <row r="160" spans="1:33" x14ac:dyDescent="0.3">
      <c r="A160" s="67" t="s">
        <v>312</v>
      </c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</row>
    <row r="161" spans="1:33" x14ac:dyDescent="0.3">
      <c r="A161" s="120" t="s">
        <v>313</v>
      </c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</row>
    <row r="162" spans="1:33" x14ac:dyDescent="0.3">
      <c r="A162" s="67" t="s">
        <v>314</v>
      </c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</row>
    <row r="163" spans="1:33" x14ac:dyDescent="0.3">
      <c r="A163" s="67" t="s">
        <v>315</v>
      </c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</row>
    <row r="164" spans="1:33" x14ac:dyDescent="0.3">
      <c r="A164" s="68" t="s">
        <v>316</v>
      </c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</row>
    <row r="165" spans="1:33" x14ac:dyDescent="0.3">
      <c r="A165" s="67" t="s">
        <v>317</v>
      </c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</row>
    <row r="166" spans="1:33" x14ac:dyDescent="0.3">
      <c r="A166" s="67" t="s">
        <v>318</v>
      </c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</row>
    <row r="167" spans="1:33" x14ac:dyDescent="0.3">
      <c r="A167" s="120" t="s">
        <v>319</v>
      </c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</row>
    <row r="168" spans="1:33" x14ac:dyDescent="0.3">
      <c r="A168" s="67" t="s">
        <v>320</v>
      </c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</row>
    <row r="169" spans="1:33" x14ac:dyDescent="0.3">
      <c r="A169" s="67" t="s">
        <v>321</v>
      </c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</row>
    <row r="170" spans="1:33" x14ac:dyDescent="0.3">
      <c r="A170" s="67" t="s">
        <v>322</v>
      </c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</row>
    <row r="171" spans="1:33" x14ac:dyDescent="0.3">
      <c r="A171" s="67" t="s">
        <v>323</v>
      </c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</row>
    <row r="172" spans="1:33" x14ac:dyDescent="0.3">
      <c r="A172" s="67" t="s">
        <v>324</v>
      </c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</row>
    <row r="173" spans="1:33" x14ac:dyDescent="0.3">
      <c r="A173" s="120" t="s">
        <v>325</v>
      </c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</row>
    <row r="174" spans="1:33" x14ac:dyDescent="0.3">
      <c r="A174" s="119" t="s">
        <v>326</v>
      </c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</row>
    <row r="175" spans="1:33" x14ac:dyDescent="0.3">
      <c r="A175" s="119" t="s">
        <v>327</v>
      </c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</row>
    <row r="176" spans="1:33" x14ac:dyDescent="0.3">
      <c r="A176" s="121" t="s">
        <v>328</v>
      </c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</row>
    <row r="177" spans="1:33" x14ac:dyDescent="0.3">
      <c r="A177" s="119" t="s">
        <v>329</v>
      </c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</row>
    <row r="178" spans="1:33" x14ac:dyDescent="0.3">
      <c r="A178" s="68" t="s">
        <v>330</v>
      </c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</row>
    <row r="179" spans="1:33" x14ac:dyDescent="0.3">
      <c r="A179" s="68" t="s">
        <v>331</v>
      </c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</row>
    <row r="180" spans="1:33" x14ac:dyDescent="0.3">
      <c r="A180" s="68" t="s">
        <v>157</v>
      </c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</row>
    <row r="181" spans="1:33" x14ac:dyDescent="0.3">
      <c r="A181" s="68" t="s">
        <v>332</v>
      </c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</row>
    <row r="182" spans="1:33" x14ac:dyDescent="0.3">
      <c r="A182" s="68" t="s">
        <v>333</v>
      </c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</row>
    <row r="183" spans="1:33" x14ac:dyDescent="0.3">
      <c r="A183" s="68" t="s">
        <v>334</v>
      </c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</row>
    <row r="184" spans="1:33" x14ac:dyDescent="0.3">
      <c r="A184" s="68" t="s">
        <v>335</v>
      </c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</row>
    <row r="185" spans="1:33" x14ac:dyDescent="0.3">
      <c r="A185" s="68" t="s">
        <v>336</v>
      </c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</row>
    <row r="186" spans="1:33" x14ac:dyDescent="0.3">
      <c r="A186" s="68" t="s">
        <v>337</v>
      </c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</row>
  </sheetData>
  <mergeCells count="1">
    <mergeCell ref="A1:A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G193"/>
  <sheetViews>
    <sheetView zoomScaleNormal="100" workbookViewId="0">
      <pane xSplit="1" ySplit="2" topLeftCell="B163" activePane="bottomRight" state="frozen"/>
      <selection pane="topRight" activeCell="B1" sqref="B1"/>
      <selection pane="bottomLeft" activeCell="A3" sqref="A3"/>
      <selection pane="bottomRight" activeCell="A3" sqref="A3:A186"/>
    </sheetView>
  </sheetViews>
  <sheetFormatPr defaultColWidth="8.6640625" defaultRowHeight="14.4" x14ac:dyDescent="0.3"/>
  <cols>
    <col min="1" max="1" width="30" customWidth="1"/>
    <col min="2" max="32" width="5" customWidth="1"/>
    <col min="33" max="33" width="10" customWidth="1"/>
  </cols>
  <sheetData>
    <row r="1" spans="1:33" ht="16.2" customHeight="1" x14ac:dyDescent="0.3">
      <c r="A1" s="10" t="s">
        <v>90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3">
      <c r="A2" s="24" t="s">
        <v>2</v>
      </c>
      <c r="B2" s="24">
        <v>1</v>
      </c>
      <c r="C2" s="24">
        <v>2</v>
      </c>
      <c r="D2" s="24">
        <v>3</v>
      </c>
      <c r="E2" s="24">
        <v>4</v>
      </c>
      <c r="F2" s="24">
        <v>5</v>
      </c>
      <c r="G2" s="24">
        <v>6</v>
      </c>
      <c r="H2" s="24">
        <v>7</v>
      </c>
      <c r="I2" s="24">
        <v>8</v>
      </c>
      <c r="J2" s="24">
        <v>9</v>
      </c>
      <c r="K2" s="24">
        <v>10</v>
      </c>
      <c r="L2" s="24">
        <v>11</v>
      </c>
      <c r="M2" s="24">
        <v>12</v>
      </c>
      <c r="N2" s="24">
        <v>13</v>
      </c>
      <c r="O2" s="24">
        <v>14</v>
      </c>
      <c r="P2" s="24">
        <v>15</v>
      </c>
      <c r="Q2" s="24">
        <v>16</v>
      </c>
      <c r="R2" s="24">
        <v>17</v>
      </c>
      <c r="S2" s="24">
        <v>18</v>
      </c>
      <c r="T2" s="24">
        <v>19</v>
      </c>
      <c r="U2" s="24">
        <v>20</v>
      </c>
      <c r="V2" s="24">
        <v>21</v>
      </c>
      <c r="W2" s="24">
        <v>22</v>
      </c>
      <c r="X2" s="24">
        <v>23</v>
      </c>
      <c r="Y2" s="24">
        <v>24</v>
      </c>
      <c r="Z2" s="24">
        <v>25</v>
      </c>
      <c r="AA2" s="24">
        <v>26</v>
      </c>
      <c r="AB2" s="24">
        <v>27</v>
      </c>
      <c r="AC2" s="24">
        <v>28</v>
      </c>
      <c r="AD2" s="24">
        <v>29</v>
      </c>
      <c r="AE2" s="24">
        <v>30</v>
      </c>
      <c r="AF2" s="24">
        <v>31</v>
      </c>
      <c r="AG2" s="24" t="s">
        <v>88</v>
      </c>
    </row>
    <row r="3" spans="1:33" x14ac:dyDescent="0.3">
      <c r="A3" s="53" t="s">
        <v>158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1">
        <f t="shared" ref="AG3:AG34" si="0">SUM(B3:AF3)</f>
        <v>0</v>
      </c>
    </row>
    <row r="4" spans="1:33" x14ac:dyDescent="0.3">
      <c r="A4" s="54" t="s">
        <v>159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1">
        <f t="shared" si="0"/>
        <v>0</v>
      </c>
    </row>
    <row r="5" spans="1:33" x14ac:dyDescent="0.3">
      <c r="A5" s="54" t="s">
        <v>160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1">
        <f t="shared" si="0"/>
        <v>0</v>
      </c>
    </row>
    <row r="6" spans="1:33" x14ac:dyDescent="0.3">
      <c r="A6" s="54" t="s">
        <v>161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1">
        <f t="shared" si="0"/>
        <v>0</v>
      </c>
    </row>
    <row r="7" spans="1:33" x14ac:dyDescent="0.3">
      <c r="A7" s="54" t="s">
        <v>162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1">
        <f t="shared" si="0"/>
        <v>0</v>
      </c>
    </row>
    <row r="8" spans="1:33" x14ac:dyDescent="0.3">
      <c r="A8" s="54" t="s">
        <v>163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1">
        <f t="shared" si="0"/>
        <v>0</v>
      </c>
    </row>
    <row r="9" spans="1:33" x14ac:dyDescent="0.3">
      <c r="A9" s="54" t="s">
        <v>164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1">
        <f t="shared" si="0"/>
        <v>0</v>
      </c>
    </row>
    <row r="10" spans="1:33" x14ac:dyDescent="0.3">
      <c r="A10" s="54" t="s">
        <v>165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1">
        <f t="shared" si="0"/>
        <v>0</v>
      </c>
    </row>
    <row r="11" spans="1:33" x14ac:dyDescent="0.3">
      <c r="A11" s="54" t="s">
        <v>166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1">
        <f t="shared" si="0"/>
        <v>0</v>
      </c>
    </row>
    <row r="12" spans="1:33" x14ac:dyDescent="0.3">
      <c r="A12" s="54" t="s">
        <v>167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1">
        <f t="shared" si="0"/>
        <v>0</v>
      </c>
    </row>
    <row r="13" spans="1:33" x14ac:dyDescent="0.3">
      <c r="A13" s="54" t="s">
        <v>168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1">
        <f t="shared" si="0"/>
        <v>0</v>
      </c>
    </row>
    <row r="14" spans="1:33" x14ac:dyDescent="0.3">
      <c r="A14" s="55" t="s">
        <v>169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1">
        <f t="shared" si="0"/>
        <v>0</v>
      </c>
    </row>
    <row r="15" spans="1:33" x14ac:dyDescent="0.3">
      <c r="A15" s="55" t="s">
        <v>170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1">
        <f t="shared" si="0"/>
        <v>0</v>
      </c>
    </row>
    <row r="16" spans="1:33" x14ac:dyDescent="0.3">
      <c r="A16" s="55" t="s">
        <v>171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1">
        <f t="shared" si="0"/>
        <v>0</v>
      </c>
    </row>
    <row r="17" spans="1:33" x14ac:dyDescent="0.3">
      <c r="A17" s="55" t="s">
        <v>172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1">
        <f t="shared" si="0"/>
        <v>0</v>
      </c>
    </row>
    <row r="18" spans="1:33" x14ac:dyDescent="0.3">
      <c r="A18" s="55" t="s">
        <v>173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1">
        <f t="shared" si="0"/>
        <v>0</v>
      </c>
    </row>
    <row r="19" spans="1:33" x14ac:dyDescent="0.3">
      <c r="A19" s="56" t="s">
        <v>174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1">
        <f t="shared" si="0"/>
        <v>0</v>
      </c>
    </row>
    <row r="20" spans="1:33" x14ac:dyDescent="0.3">
      <c r="A20" s="57" t="s">
        <v>175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1">
        <f t="shared" si="0"/>
        <v>0</v>
      </c>
    </row>
    <row r="21" spans="1:33" x14ac:dyDescent="0.3">
      <c r="A21" s="57" t="s">
        <v>176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1">
        <f t="shared" si="0"/>
        <v>0</v>
      </c>
    </row>
    <row r="22" spans="1:33" x14ac:dyDescent="0.3">
      <c r="A22" s="57" t="s">
        <v>177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1">
        <f t="shared" si="0"/>
        <v>0</v>
      </c>
    </row>
    <row r="23" spans="1:33" x14ac:dyDescent="0.3">
      <c r="A23" s="57" t="s">
        <v>178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1">
        <f t="shared" si="0"/>
        <v>0</v>
      </c>
    </row>
    <row r="24" spans="1:33" x14ac:dyDescent="0.3">
      <c r="A24" s="57" t="s">
        <v>179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1">
        <f t="shared" si="0"/>
        <v>0</v>
      </c>
    </row>
    <row r="25" spans="1:33" x14ac:dyDescent="0.3">
      <c r="A25" s="57" t="s">
        <v>180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1">
        <f t="shared" si="0"/>
        <v>0</v>
      </c>
    </row>
    <row r="26" spans="1:33" x14ac:dyDescent="0.3">
      <c r="A26" s="57" t="s">
        <v>181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1">
        <f t="shared" si="0"/>
        <v>0</v>
      </c>
    </row>
    <row r="27" spans="1:33" x14ac:dyDescent="0.3">
      <c r="A27" s="57" t="s">
        <v>182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1">
        <f t="shared" si="0"/>
        <v>0</v>
      </c>
    </row>
    <row r="28" spans="1:33" x14ac:dyDescent="0.3">
      <c r="A28" s="57" t="s">
        <v>183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1">
        <f t="shared" si="0"/>
        <v>0</v>
      </c>
    </row>
    <row r="29" spans="1:33" x14ac:dyDescent="0.3">
      <c r="A29" s="57" t="s">
        <v>184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1">
        <f t="shared" si="0"/>
        <v>0</v>
      </c>
    </row>
    <row r="30" spans="1:33" x14ac:dyDescent="0.3">
      <c r="A30" s="58" t="s">
        <v>185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1">
        <f t="shared" si="0"/>
        <v>0</v>
      </c>
    </row>
    <row r="31" spans="1:33" x14ac:dyDescent="0.3">
      <c r="A31" s="58" t="s">
        <v>186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1">
        <f t="shared" si="0"/>
        <v>0</v>
      </c>
    </row>
    <row r="32" spans="1:33" x14ac:dyDescent="0.3">
      <c r="A32" s="58" t="s">
        <v>187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1">
        <f t="shared" si="0"/>
        <v>0</v>
      </c>
    </row>
    <row r="33" spans="1:33" x14ac:dyDescent="0.3">
      <c r="A33" s="58" t="s">
        <v>188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1">
        <f t="shared" si="0"/>
        <v>0</v>
      </c>
    </row>
    <row r="34" spans="1:33" x14ac:dyDescent="0.3">
      <c r="A34" s="58" t="s">
        <v>189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1">
        <f t="shared" si="0"/>
        <v>0</v>
      </c>
    </row>
    <row r="35" spans="1:33" x14ac:dyDescent="0.3">
      <c r="A35" s="59" t="s">
        <v>190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1">
        <f t="shared" ref="AG35:AG66" si="1">SUM(B35:AF35)</f>
        <v>0</v>
      </c>
    </row>
    <row r="36" spans="1:33" x14ac:dyDescent="0.3">
      <c r="A36" s="60" t="s">
        <v>191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1">
        <f t="shared" si="1"/>
        <v>0</v>
      </c>
    </row>
    <row r="37" spans="1:33" x14ac:dyDescent="0.3">
      <c r="A37" s="60" t="s">
        <v>192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1">
        <f t="shared" si="1"/>
        <v>0</v>
      </c>
    </row>
    <row r="38" spans="1:33" x14ac:dyDescent="0.3">
      <c r="A38" s="60" t="s">
        <v>193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1">
        <f t="shared" si="1"/>
        <v>0</v>
      </c>
    </row>
    <row r="39" spans="1:33" x14ac:dyDescent="0.3">
      <c r="A39" s="60" t="s">
        <v>194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1">
        <f t="shared" si="1"/>
        <v>0</v>
      </c>
    </row>
    <row r="40" spans="1:33" x14ac:dyDescent="0.3">
      <c r="A40" s="60" t="s">
        <v>195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1">
        <f t="shared" si="1"/>
        <v>0</v>
      </c>
    </row>
    <row r="41" spans="1:33" x14ac:dyDescent="0.3">
      <c r="A41" s="60" t="s">
        <v>196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1">
        <f t="shared" si="1"/>
        <v>0</v>
      </c>
    </row>
    <row r="42" spans="1:33" x14ac:dyDescent="0.3">
      <c r="A42" s="60" t="s">
        <v>197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1">
        <f t="shared" si="1"/>
        <v>0</v>
      </c>
    </row>
    <row r="43" spans="1:33" x14ac:dyDescent="0.3">
      <c r="A43" s="60" t="s">
        <v>198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1">
        <f t="shared" si="1"/>
        <v>0</v>
      </c>
    </row>
    <row r="44" spans="1:33" x14ac:dyDescent="0.3">
      <c r="A44" s="60" t="s">
        <v>199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1">
        <f t="shared" si="1"/>
        <v>0</v>
      </c>
    </row>
    <row r="45" spans="1:33" x14ac:dyDescent="0.3">
      <c r="A45" s="60" t="s">
        <v>200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1">
        <f t="shared" si="1"/>
        <v>0</v>
      </c>
    </row>
    <row r="46" spans="1:33" x14ac:dyDescent="0.3">
      <c r="A46" s="61" t="s">
        <v>201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1">
        <f t="shared" si="1"/>
        <v>0</v>
      </c>
    </row>
    <row r="47" spans="1:33" x14ac:dyDescent="0.3">
      <c r="A47" s="61" t="s">
        <v>202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1">
        <f t="shared" si="1"/>
        <v>0</v>
      </c>
    </row>
    <row r="48" spans="1:33" x14ac:dyDescent="0.3">
      <c r="A48" s="61" t="s">
        <v>203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1">
        <f t="shared" si="1"/>
        <v>0</v>
      </c>
    </row>
    <row r="49" spans="1:33" x14ac:dyDescent="0.3">
      <c r="A49" s="61" t="s">
        <v>204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1">
        <f t="shared" si="1"/>
        <v>0</v>
      </c>
    </row>
    <row r="50" spans="1:33" x14ac:dyDescent="0.3">
      <c r="A50" s="62" t="s">
        <v>205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1">
        <f t="shared" si="1"/>
        <v>0</v>
      </c>
    </row>
    <row r="51" spans="1:33" x14ac:dyDescent="0.3">
      <c r="A51" s="63" t="s">
        <v>206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1">
        <f t="shared" si="1"/>
        <v>0</v>
      </c>
    </row>
    <row r="52" spans="1:33" x14ac:dyDescent="0.3">
      <c r="A52" s="64" t="s">
        <v>207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1">
        <f t="shared" si="1"/>
        <v>0</v>
      </c>
    </row>
    <row r="53" spans="1:33" x14ac:dyDescent="0.3">
      <c r="A53" s="64" t="s">
        <v>208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1">
        <f t="shared" si="1"/>
        <v>0</v>
      </c>
    </row>
    <row r="54" spans="1:33" x14ac:dyDescent="0.3">
      <c r="A54" s="64" t="s">
        <v>209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1">
        <f t="shared" si="1"/>
        <v>0</v>
      </c>
    </row>
    <row r="55" spans="1:33" x14ac:dyDescent="0.3">
      <c r="A55" s="64" t="s">
        <v>210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1">
        <f t="shared" si="1"/>
        <v>0</v>
      </c>
    </row>
    <row r="56" spans="1:33" x14ac:dyDescent="0.3">
      <c r="A56" s="64" t="s">
        <v>211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1">
        <f t="shared" si="1"/>
        <v>0</v>
      </c>
    </row>
    <row r="57" spans="1:33" x14ac:dyDescent="0.3">
      <c r="A57" s="64" t="s">
        <v>212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1">
        <f t="shared" si="1"/>
        <v>0</v>
      </c>
    </row>
    <row r="58" spans="1:33" x14ac:dyDescent="0.3">
      <c r="A58" s="64" t="s">
        <v>213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1">
        <f t="shared" si="1"/>
        <v>0</v>
      </c>
    </row>
    <row r="59" spans="1:33" x14ac:dyDescent="0.3">
      <c r="A59" s="64" t="s">
        <v>214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1">
        <f t="shared" si="1"/>
        <v>0</v>
      </c>
    </row>
    <row r="60" spans="1:33" x14ac:dyDescent="0.3">
      <c r="A60" s="64" t="s">
        <v>215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1">
        <f t="shared" si="1"/>
        <v>0</v>
      </c>
    </row>
    <row r="61" spans="1:33" x14ac:dyDescent="0.3">
      <c r="A61" s="67" t="s">
        <v>216</v>
      </c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6">
        <f t="shared" si="1"/>
        <v>0</v>
      </c>
    </row>
    <row r="62" spans="1:33" x14ac:dyDescent="0.3">
      <c r="A62" s="67" t="s">
        <v>217</v>
      </c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</row>
    <row r="63" spans="1:33" x14ac:dyDescent="0.3">
      <c r="A63" s="67" t="s">
        <v>218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</row>
    <row r="64" spans="1:33" x14ac:dyDescent="0.3">
      <c r="A64" s="68" t="s">
        <v>219</v>
      </c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</row>
    <row r="65" spans="1:33" x14ac:dyDescent="0.3">
      <c r="A65" s="70" t="s">
        <v>220</v>
      </c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</row>
    <row r="66" spans="1:33" x14ac:dyDescent="0.3">
      <c r="A66" s="71" t="s">
        <v>221</v>
      </c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</row>
    <row r="67" spans="1:33" x14ac:dyDescent="0.3">
      <c r="A67" s="71" t="s">
        <v>222</v>
      </c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</row>
    <row r="68" spans="1:33" x14ac:dyDescent="0.3">
      <c r="A68" s="71" t="s">
        <v>223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</row>
    <row r="69" spans="1:33" x14ac:dyDescent="0.3">
      <c r="A69" s="71" t="s">
        <v>224</v>
      </c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</row>
    <row r="70" spans="1:33" x14ac:dyDescent="0.3">
      <c r="A70" s="71" t="s">
        <v>225</v>
      </c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</row>
    <row r="71" spans="1:33" x14ac:dyDescent="0.3">
      <c r="A71" s="71" t="s">
        <v>226</v>
      </c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</row>
    <row r="72" spans="1:33" x14ac:dyDescent="0.3">
      <c r="A72" s="72" t="s">
        <v>227</v>
      </c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</row>
    <row r="73" spans="1:33" x14ac:dyDescent="0.3">
      <c r="A73" s="72" t="s">
        <v>228</v>
      </c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</row>
    <row r="74" spans="1:33" x14ac:dyDescent="0.3">
      <c r="A74" s="72" t="s">
        <v>229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</row>
    <row r="75" spans="1:33" x14ac:dyDescent="0.3">
      <c r="A75" s="73" t="s">
        <v>230</v>
      </c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</row>
    <row r="76" spans="1:33" x14ac:dyDescent="0.3">
      <c r="A76" s="74" t="s">
        <v>231</v>
      </c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</row>
    <row r="77" spans="1:33" x14ac:dyDescent="0.3">
      <c r="A77" s="74" t="s">
        <v>232</v>
      </c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</row>
    <row r="78" spans="1:33" x14ac:dyDescent="0.3">
      <c r="A78" s="74" t="s">
        <v>233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</row>
    <row r="79" spans="1:33" x14ac:dyDescent="0.3">
      <c r="A79" s="74" t="s">
        <v>234</v>
      </c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</row>
    <row r="80" spans="1:33" x14ac:dyDescent="0.3">
      <c r="A80" s="75" t="s">
        <v>235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</row>
    <row r="81" spans="1:33" x14ac:dyDescent="0.3">
      <c r="A81" s="76" t="s">
        <v>236</v>
      </c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</row>
    <row r="82" spans="1:33" x14ac:dyDescent="0.3">
      <c r="A82" s="77" t="s">
        <v>237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</row>
    <row r="83" spans="1:33" x14ac:dyDescent="0.3">
      <c r="A83" s="77" t="s">
        <v>238</v>
      </c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</row>
    <row r="84" spans="1:33" x14ac:dyDescent="0.3">
      <c r="A84" s="78" t="s">
        <v>239</v>
      </c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</row>
    <row r="85" spans="1:33" x14ac:dyDescent="0.3">
      <c r="A85" s="79" t="s">
        <v>240</v>
      </c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</row>
    <row r="86" spans="1:33" x14ac:dyDescent="0.3">
      <c r="A86" s="79" t="s">
        <v>241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</row>
    <row r="87" spans="1:33" x14ac:dyDescent="0.3">
      <c r="A87" s="80" t="s">
        <v>242</v>
      </c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</row>
    <row r="88" spans="1:33" x14ac:dyDescent="0.3">
      <c r="A88" s="81" t="s">
        <v>243</v>
      </c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</row>
    <row r="89" spans="1:33" x14ac:dyDescent="0.3">
      <c r="A89" s="81" t="s">
        <v>244</v>
      </c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</row>
    <row r="90" spans="1:33" x14ac:dyDescent="0.3">
      <c r="A90" s="81" t="s">
        <v>245</v>
      </c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</row>
    <row r="91" spans="1:33" x14ac:dyDescent="0.3">
      <c r="A91" s="82" t="s">
        <v>246</v>
      </c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</row>
    <row r="92" spans="1:33" x14ac:dyDescent="0.3">
      <c r="A92" s="83" t="s">
        <v>247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</row>
    <row r="93" spans="1:33" x14ac:dyDescent="0.3">
      <c r="A93" s="83" t="s">
        <v>248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</row>
    <row r="94" spans="1:33" x14ac:dyDescent="0.3">
      <c r="A94" s="84" t="s">
        <v>249</v>
      </c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</row>
    <row r="95" spans="1:33" x14ac:dyDescent="0.3">
      <c r="A95" s="84" t="s">
        <v>250</v>
      </c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</row>
    <row r="96" spans="1:33" x14ac:dyDescent="0.3">
      <c r="A96" s="84" t="s">
        <v>251</v>
      </c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</row>
    <row r="97" spans="1:33" x14ac:dyDescent="0.3">
      <c r="A97" s="84" t="s">
        <v>252</v>
      </c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</row>
    <row r="98" spans="1:33" x14ac:dyDescent="0.3">
      <c r="A98" s="85" t="s">
        <v>253</v>
      </c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</row>
    <row r="99" spans="1:33" x14ac:dyDescent="0.3">
      <c r="A99" s="86" t="s">
        <v>254</v>
      </c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</row>
    <row r="100" spans="1:33" x14ac:dyDescent="0.3">
      <c r="A100" s="86" t="s">
        <v>255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</row>
    <row r="101" spans="1:33" x14ac:dyDescent="0.3">
      <c r="A101" s="86" t="s">
        <v>256</v>
      </c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</row>
    <row r="102" spans="1:33" x14ac:dyDescent="0.3">
      <c r="A102" s="86" t="s">
        <v>257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</row>
    <row r="103" spans="1:33" x14ac:dyDescent="0.3">
      <c r="A103" s="87" t="s">
        <v>258</v>
      </c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</row>
    <row r="104" spans="1:33" x14ac:dyDescent="0.3">
      <c r="A104" s="88" t="s">
        <v>259</v>
      </c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</row>
    <row r="105" spans="1:33" x14ac:dyDescent="0.3">
      <c r="A105" s="88" t="s">
        <v>260</v>
      </c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</row>
    <row r="106" spans="1:33" x14ac:dyDescent="0.3">
      <c r="A106" s="88" t="s">
        <v>261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</row>
    <row r="107" spans="1:33" x14ac:dyDescent="0.3">
      <c r="A107" s="88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</row>
    <row r="108" spans="1:33" x14ac:dyDescent="0.3">
      <c r="A108" s="89" t="s">
        <v>262</v>
      </c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</row>
    <row r="109" spans="1:33" x14ac:dyDescent="0.3">
      <c r="A109" s="90" t="s">
        <v>263</v>
      </c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</row>
    <row r="110" spans="1:33" x14ac:dyDescent="0.3">
      <c r="A110" s="90" t="s">
        <v>264</v>
      </c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</row>
    <row r="111" spans="1:33" x14ac:dyDescent="0.3">
      <c r="A111" s="90" t="s">
        <v>265</v>
      </c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</row>
    <row r="112" spans="1:33" x14ac:dyDescent="0.3">
      <c r="A112" s="90" t="s">
        <v>266</v>
      </c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</row>
    <row r="113" spans="1:33" x14ac:dyDescent="0.3">
      <c r="A113" s="90" t="s">
        <v>267</v>
      </c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</row>
    <row r="114" spans="1:33" x14ac:dyDescent="0.3">
      <c r="A114" s="90" t="s">
        <v>268</v>
      </c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</row>
    <row r="115" spans="1:33" x14ac:dyDescent="0.3">
      <c r="A115" s="90" t="s">
        <v>269</v>
      </c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</row>
    <row r="116" spans="1:33" x14ac:dyDescent="0.3">
      <c r="A116" s="90" t="s">
        <v>270</v>
      </c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</row>
    <row r="117" spans="1:33" x14ac:dyDescent="0.3">
      <c r="A117" s="91" t="s">
        <v>271</v>
      </c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</row>
    <row r="118" spans="1:33" x14ac:dyDescent="0.3">
      <c r="A118" s="92" t="s">
        <v>272</v>
      </c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</row>
    <row r="119" spans="1:33" x14ac:dyDescent="0.3">
      <c r="A119" s="92" t="s">
        <v>273</v>
      </c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</row>
    <row r="120" spans="1:33" x14ac:dyDescent="0.3">
      <c r="A120" s="92" t="s">
        <v>274</v>
      </c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</row>
    <row r="121" spans="1:33" x14ac:dyDescent="0.3">
      <c r="A121" s="92" t="s">
        <v>275</v>
      </c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</row>
    <row r="122" spans="1:33" x14ac:dyDescent="0.3">
      <c r="A122" s="92" t="s">
        <v>276</v>
      </c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</row>
    <row r="123" spans="1:33" x14ac:dyDescent="0.3">
      <c r="A123" s="93" t="s">
        <v>277</v>
      </c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</row>
    <row r="124" spans="1:33" x14ac:dyDescent="0.3">
      <c r="A124" s="94" t="s">
        <v>284</v>
      </c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</row>
    <row r="125" spans="1:33" x14ac:dyDescent="0.3">
      <c r="A125" s="95" t="s">
        <v>278</v>
      </c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</row>
    <row r="126" spans="1:33" x14ac:dyDescent="0.3">
      <c r="A126" s="95" t="s">
        <v>279</v>
      </c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</row>
    <row r="127" spans="1:33" x14ac:dyDescent="0.3">
      <c r="A127" s="95" t="s">
        <v>280</v>
      </c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</row>
    <row r="128" spans="1:33" x14ac:dyDescent="0.3">
      <c r="A128" s="95" t="s">
        <v>281</v>
      </c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</row>
    <row r="129" spans="1:33" x14ac:dyDescent="0.3">
      <c r="A129" s="95" t="s">
        <v>282</v>
      </c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</row>
    <row r="130" spans="1:33" x14ac:dyDescent="0.3">
      <c r="A130" s="96" t="s">
        <v>283</v>
      </c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</row>
    <row r="131" spans="1:33" x14ac:dyDescent="0.3">
      <c r="A131" s="97" t="s">
        <v>285</v>
      </c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</row>
    <row r="132" spans="1:33" x14ac:dyDescent="0.3">
      <c r="A132" s="98" t="s">
        <v>286</v>
      </c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</row>
    <row r="133" spans="1:33" x14ac:dyDescent="0.3">
      <c r="A133" s="98" t="s">
        <v>287</v>
      </c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</row>
    <row r="134" spans="1:33" x14ac:dyDescent="0.3">
      <c r="A134" s="98" t="s">
        <v>288</v>
      </c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</row>
    <row r="135" spans="1:33" x14ac:dyDescent="0.3">
      <c r="A135" s="98" t="s">
        <v>289</v>
      </c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</row>
    <row r="136" spans="1:33" x14ac:dyDescent="0.3">
      <c r="A136" s="98" t="s">
        <v>290</v>
      </c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</row>
    <row r="137" spans="1:33" x14ac:dyDescent="0.3">
      <c r="A137" s="99" t="s">
        <v>291</v>
      </c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</row>
    <row r="138" spans="1:33" x14ac:dyDescent="0.3">
      <c r="A138" s="100" t="s">
        <v>292</v>
      </c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</row>
    <row r="139" spans="1:33" x14ac:dyDescent="0.3">
      <c r="A139" s="101" t="s">
        <v>293</v>
      </c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</row>
    <row r="140" spans="1:33" x14ac:dyDescent="0.3">
      <c r="A140" s="101" t="s">
        <v>294</v>
      </c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</row>
    <row r="141" spans="1:33" x14ac:dyDescent="0.3">
      <c r="A141" s="101" t="s">
        <v>295</v>
      </c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</row>
    <row r="142" spans="1:33" x14ac:dyDescent="0.3">
      <c r="A142" s="102" t="s">
        <v>296</v>
      </c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</row>
    <row r="143" spans="1:33" x14ac:dyDescent="0.3">
      <c r="A143" s="101" t="s">
        <v>297</v>
      </c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</row>
    <row r="144" spans="1:33" x14ac:dyDescent="0.3">
      <c r="A144" s="101" t="s">
        <v>298</v>
      </c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</row>
    <row r="145" spans="1:33" x14ac:dyDescent="0.3">
      <c r="A145" s="102" t="s">
        <v>299</v>
      </c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</row>
    <row r="146" spans="1:33" x14ac:dyDescent="0.3">
      <c r="A146" s="103" t="s">
        <v>156</v>
      </c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</row>
    <row r="147" spans="1:33" x14ac:dyDescent="0.3">
      <c r="A147" s="103" t="s">
        <v>300</v>
      </c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</row>
    <row r="148" spans="1:33" x14ac:dyDescent="0.3">
      <c r="A148" s="103" t="s">
        <v>301</v>
      </c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</row>
    <row r="149" spans="1:33" x14ac:dyDescent="0.3">
      <c r="A149" s="103" t="s">
        <v>302</v>
      </c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</row>
    <row r="150" spans="1:33" x14ac:dyDescent="0.3">
      <c r="A150" s="103" t="s">
        <v>303</v>
      </c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</row>
    <row r="151" spans="1:33" x14ac:dyDescent="0.3"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</row>
    <row r="152" spans="1:33" x14ac:dyDescent="0.3">
      <c r="A152" s="104" t="s">
        <v>304</v>
      </c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</row>
    <row r="153" spans="1:33" x14ac:dyDescent="0.3">
      <c r="A153" s="105" t="s">
        <v>305</v>
      </c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</row>
    <row r="154" spans="1:33" x14ac:dyDescent="0.3">
      <c r="A154" s="105" t="s">
        <v>306</v>
      </c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</row>
    <row r="155" spans="1:33" x14ac:dyDescent="0.3">
      <c r="A155" s="106" t="s">
        <v>307</v>
      </c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</row>
    <row r="156" spans="1:33" x14ac:dyDescent="0.3">
      <c r="A156" s="108" t="s">
        <v>308</v>
      </c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</row>
    <row r="157" spans="1:33" x14ac:dyDescent="0.3">
      <c r="A157" s="107" t="s">
        <v>309</v>
      </c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</row>
    <row r="158" spans="1:33" x14ac:dyDescent="0.3">
      <c r="A158" s="107" t="s">
        <v>310</v>
      </c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</row>
    <row r="159" spans="1:33" x14ac:dyDescent="0.3">
      <c r="A159" s="107" t="s">
        <v>311</v>
      </c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</row>
    <row r="160" spans="1:33" x14ac:dyDescent="0.3">
      <c r="A160" s="108" t="s">
        <v>312</v>
      </c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</row>
    <row r="161" spans="1:33" x14ac:dyDescent="0.3">
      <c r="A161" s="109" t="s">
        <v>313</v>
      </c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</row>
    <row r="162" spans="1:33" x14ac:dyDescent="0.3">
      <c r="A162" s="110" t="s">
        <v>314</v>
      </c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</row>
    <row r="163" spans="1:33" x14ac:dyDescent="0.3">
      <c r="A163" s="110" t="s">
        <v>315</v>
      </c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</row>
    <row r="164" spans="1:33" x14ac:dyDescent="0.3">
      <c r="A164" s="111" t="s">
        <v>316</v>
      </c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</row>
    <row r="165" spans="1:33" x14ac:dyDescent="0.3">
      <c r="A165" s="110" t="s">
        <v>317</v>
      </c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</row>
    <row r="166" spans="1:33" x14ac:dyDescent="0.3">
      <c r="A166" s="110" t="s">
        <v>318</v>
      </c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</row>
    <row r="167" spans="1:33" x14ac:dyDescent="0.3">
      <c r="A167" s="112" t="s">
        <v>319</v>
      </c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</row>
    <row r="168" spans="1:33" x14ac:dyDescent="0.3">
      <c r="A168" s="113" t="s">
        <v>320</v>
      </c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</row>
    <row r="169" spans="1:33" x14ac:dyDescent="0.3">
      <c r="A169" s="113" t="s">
        <v>321</v>
      </c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</row>
    <row r="170" spans="1:33" x14ac:dyDescent="0.3">
      <c r="A170" s="113" t="s">
        <v>322</v>
      </c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</row>
    <row r="171" spans="1:33" x14ac:dyDescent="0.3">
      <c r="A171" s="113" t="s">
        <v>323</v>
      </c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</row>
    <row r="172" spans="1:33" x14ac:dyDescent="0.3">
      <c r="A172" s="113" t="s">
        <v>324</v>
      </c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</row>
    <row r="173" spans="1:33" x14ac:dyDescent="0.3">
      <c r="A173" s="114" t="s">
        <v>325</v>
      </c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</row>
    <row r="174" spans="1:33" x14ac:dyDescent="0.3">
      <c r="A174" s="115" t="s">
        <v>326</v>
      </c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</row>
    <row r="175" spans="1:33" x14ac:dyDescent="0.3">
      <c r="A175" s="115" t="s">
        <v>327</v>
      </c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</row>
    <row r="176" spans="1:33" x14ac:dyDescent="0.3">
      <c r="A176" s="118" t="s">
        <v>328</v>
      </c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</row>
    <row r="177" spans="1:33" x14ac:dyDescent="0.3">
      <c r="A177" s="115" t="s">
        <v>329</v>
      </c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</row>
    <row r="178" spans="1:33" x14ac:dyDescent="0.3">
      <c r="A178" s="117" t="s">
        <v>330</v>
      </c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</row>
    <row r="179" spans="1:33" x14ac:dyDescent="0.3">
      <c r="A179" s="117" t="s">
        <v>331</v>
      </c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</row>
    <row r="180" spans="1:33" x14ac:dyDescent="0.3">
      <c r="A180" s="117" t="s">
        <v>157</v>
      </c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</row>
    <row r="181" spans="1:33" x14ac:dyDescent="0.3">
      <c r="A181" s="117" t="s">
        <v>332</v>
      </c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</row>
    <row r="182" spans="1:33" x14ac:dyDescent="0.3">
      <c r="A182" s="117" t="s">
        <v>333</v>
      </c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</row>
    <row r="183" spans="1:33" x14ac:dyDescent="0.3">
      <c r="A183" s="117" t="s">
        <v>334</v>
      </c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</row>
    <row r="184" spans="1:33" x14ac:dyDescent="0.3">
      <c r="A184" s="117" t="s">
        <v>335</v>
      </c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</row>
    <row r="185" spans="1:33" x14ac:dyDescent="0.3">
      <c r="A185" s="117" t="s">
        <v>336</v>
      </c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</row>
    <row r="186" spans="1:33" x14ac:dyDescent="0.3">
      <c r="A186" s="117" t="s">
        <v>337</v>
      </c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</row>
    <row r="187" spans="1:33" x14ac:dyDescent="0.3"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</row>
    <row r="188" spans="1:33" x14ac:dyDescent="0.3"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</row>
    <row r="189" spans="1:33" x14ac:dyDescent="0.3"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</row>
    <row r="190" spans="1:33" x14ac:dyDescent="0.3"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</row>
    <row r="191" spans="1:33" x14ac:dyDescent="0.3"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</row>
    <row r="192" spans="1:33" x14ac:dyDescent="0.3"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</row>
    <row r="193" spans="2:33" x14ac:dyDescent="0.3"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</row>
  </sheetData>
  <mergeCells count="1">
    <mergeCell ref="A1:AG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H28"/>
  <sheetViews>
    <sheetView zoomScaleNormal="100" workbookViewId="0">
      <selection sqref="A1:H1"/>
    </sheetView>
  </sheetViews>
  <sheetFormatPr defaultColWidth="8.6640625" defaultRowHeight="14.4" x14ac:dyDescent="0.3"/>
  <cols>
    <col min="1" max="1" width="22" customWidth="1"/>
    <col min="2" max="5" width="18" customWidth="1"/>
    <col min="6" max="6" width="3" customWidth="1"/>
    <col min="7" max="7" width="24" customWidth="1"/>
    <col min="8" max="8" width="20" customWidth="1"/>
  </cols>
  <sheetData>
    <row r="1" spans="1:8" ht="16.2" customHeight="1" x14ac:dyDescent="0.3">
      <c r="A1" s="14" t="s">
        <v>91</v>
      </c>
      <c r="B1" s="14"/>
      <c r="C1" s="14"/>
      <c r="D1" s="14"/>
      <c r="E1" s="14"/>
      <c r="F1" s="14"/>
      <c r="G1" s="14"/>
      <c r="H1" s="14"/>
    </row>
    <row r="3" spans="1:8" ht="15" customHeight="1" x14ac:dyDescent="0.3">
      <c r="A3" s="9" t="s">
        <v>92</v>
      </c>
      <c r="B3" s="9"/>
      <c r="C3" s="9"/>
      <c r="D3" s="9"/>
      <c r="E3" s="9"/>
      <c r="G3" s="8" t="s">
        <v>93</v>
      </c>
      <c r="H3" s="8"/>
    </row>
    <row r="4" spans="1:8" x14ac:dyDescent="0.3">
      <c r="A4" s="33" t="s">
        <v>94</v>
      </c>
      <c r="B4" s="33" t="s">
        <v>95</v>
      </c>
      <c r="C4" s="33" t="s">
        <v>96</v>
      </c>
      <c r="D4" s="33" t="s">
        <v>97</v>
      </c>
      <c r="E4" s="33" t="s">
        <v>98</v>
      </c>
      <c r="G4" s="34" t="s">
        <v>99</v>
      </c>
      <c r="H4" s="35" t="s">
        <v>100</v>
      </c>
    </row>
    <row r="5" spans="1:8" x14ac:dyDescent="0.3">
      <c r="A5" s="36" t="s">
        <v>22</v>
      </c>
      <c r="B5" s="37">
        <f>SUMPRODUCT(('STOK TAKİBİ'!B4:B62=A5)*('STOK TAKİBİ'!E4:E62)*('STOK TAKİBİ'!D4:D62))</f>
        <v>0</v>
      </c>
      <c r="C5" s="37">
        <f>SUMPRODUCT(('STOK TAKİBİ'!B4:B62=A5)*('STOK TAKİBİ'!F4:F62)*('STOK TAKİBİ'!D4:D62))</f>
        <v>0</v>
      </c>
      <c r="D5" s="37">
        <f>SUMPRODUCT(('STOK TAKİBİ'!B4:B62=A5)*('STOK TAKİBİ'!K4:K62)*('STOK TAKİBİ'!D4:D62))</f>
        <v>0</v>
      </c>
      <c r="E5" s="37">
        <f>SUMPRODUCT(('STOK TAKİBİ'!B4:B62=A5)*('STOK TAKİBİ'!M4:M62))</f>
        <v>0</v>
      </c>
      <c r="G5" s="34" t="s">
        <v>101</v>
      </c>
      <c r="H5" s="38"/>
    </row>
    <row r="6" spans="1:8" x14ac:dyDescent="0.3">
      <c r="A6" s="36" t="s">
        <v>41</v>
      </c>
      <c r="B6" s="37">
        <f>SUMPRODUCT(('STOK TAKİBİ'!B4:B62=A6)*('STOK TAKİBİ'!E4:E62)*('STOK TAKİBİ'!D4:D62))</f>
        <v>0</v>
      </c>
      <c r="C6" s="37">
        <f>SUMPRODUCT(('STOK TAKİBİ'!B4:B62=A6)*('STOK TAKİBİ'!F4:F62)*('STOK TAKİBİ'!D4:D62))</f>
        <v>0</v>
      </c>
      <c r="D6" s="37">
        <f>SUMPRODUCT(('STOK TAKİBİ'!B4:B62=A6)*('STOK TAKİBİ'!K4:K62)*('STOK TAKİBİ'!D4:D62))</f>
        <v>0</v>
      </c>
      <c r="E6" s="37">
        <f>SUMPRODUCT(('STOK TAKİBİ'!B4:B62=A6)*('STOK TAKİBİ'!M4:M62))</f>
        <v>0</v>
      </c>
      <c r="G6" s="34" t="s">
        <v>102</v>
      </c>
      <c r="H6" s="39">
        <f>IF(H5=0,0,0)</f>
        <v>0</v>
      </c>
    </row>
    <row r="7" spans="1:8" x14ac:dyDescent="0.3">
      <c r="A7" s="36" t="s">
        <v>56</v>
      </c>
      <c r="B7" s="37">
        <f>SUMPRODUCT(('STOK TAKİBİ'!B4:B62=A7)*('STOK TAKİBİ'!E4:E62)*('STOK TAKİBİ'!D4:D62))</f>
        <v>0</v>
      </c>
      <c r="C7" s="37">
        <f>SUMPRODUCT(('STOK TAKİBİ'!B4:B62=A7)*('STOK TAKİBİ'!F4:F62)*('STOK TAKİBİ'!D4:D62))</f>
        <v>0</v>
      </c>
      <c r="D7" s="37">
        <f>SUMPRODUCT(('STOK TAKİBİ'!B4:B62=A7)*('STOK TAKİBİ'!K4:K62)*('STOK TAKİBİ'!D4:D62))</f>
        <v>0</v>
      </c>
      <c r="E7" s="37">
        <f>SUMPRODUCT(('STOK TAKİBİ'!B4:B62=A7)*('STOK TAKİBİ'!M4:M62))</f>
        <v>0</v>
      </c>
      <c r="G7" s="34" t="s">
        <v>103</v>
      </c>
      <c r="H7" s="39">
        <f>IF(H5=0,0,'STOK TAKİBİ'!Q63/H5)</f>
        <v>0</v>
      </c>
    </row>
    <row r="8" spans="1:8" x14ac:dyDescent="0.3">
      <c r="A8" s="36" t="s">
        <v>70</v>
      </c>
      <c r="B8" s="37">
        <f>SUMPRODUCT(('STOK TAKİBİ'!B4:B62=A8)*('STOK TAKİBİ'!E4:E62)*('STOK TAKİBİ'!D4:D62))</f>
        <v>0</v>
      </c>
      <c r="C8" s="37">
        <f>SUMPRODUCT(('STOK TAKİBİ'!B4:B62=A8)*('STOK TAKİBİ'!F4:F62)*('STOK TAKİBİ'!D4:D62))</f>
        <v>0</v>
      </c>
      <c r="D8" s="37">
        <f>SUMPRODUCT(('STOK TAKİBİ'!B4:B62=A8)*('STOK TAKİBİ'!K4:K62)*('STOK TAKİBİ'!D4:D62))</f>
        <v>0</v>
      </c>
      <c r="E8" s="37">
        <f>SUMPRODUCT(('STOK TAKİBİ'!B4:B62=A8)*('STOK TAKİBİ'!M4:M62))</f>
        <v>0</v>
      </c>
      <c r="G8" s="34" t="s">
        <v>104</v>
      </c>
      <c r="H8" s="39">
        <f>IF(H5=0,0,'STOK TAKİBİ'!O63/H5)</f>
        <v>0</v>
      </c>
    </row>
    <row r="9" spans="1:8" x14ac:dyDescent="0.3">
      <c r="A9" s="36" t="s">
        <v>81</v>
      </c>
      <c r="B9" s="37">
        <f>SUMPRODUCT(('STOK TAKİBİ'!B4:B62=A9)*('STOK TAKİBİ'!E4:E62)*('STOK TAKİBİ'!D4:D62))</f>
        <v>0</v>
      </c>
      <c r="C9" s="37">
        <f>SUMPRODUCT(('STOK TAKİBİ'!B4:B62=A9)*('STOK TAKİBİ'!F4:F62)*('STOK TAKİBİ'!D4:D62))</f>
        <v>0</v>
      </c>
      <c r="D9" s="37">
        <f>SUMPRODUCT(('STOK TAKİBİ'!B4:B62=A9)*('STOK TAKİBİ'!K4:K62)*('STOK TAKİBİ'!D4:D62))</f>
        <v>0</v>
      </c>
      <c r="E9" s="37">
        <f>SUMPRODUCT(('STOK TAKİBİ'!B4:B62=A9)*('STOK TAKİBİ'!M4:M62))</f>
        <v>0</v>
      </c>
      <c r="G9" s="34" t="s">
        <v>105</v>
      </c>
      <c r="H9" s="40">
        <f>IF(H10=0,0,H5/H10)</f>
        <v>0</v>
      </c>
    </row>
    <row r="10" spans="1:8" x14ac:dyDescent="0.3">
      <c r="A10" s="25" t="s">
        <v>88</v>
      </c>
      <c r="B10" s="27">
        <f>SUM(B5:B9)</f>
        <v>0</v>
      </c>
      <c r="C10" s="27">
        <f>SUM(C5:C9)</f>
        <v>0</v>
      </c>
      <c r="D10" s="27">
        <f>SUM(D5:D9)</f>
        <v>0</v>
      </c>
      <c r="E10" s="27">
        <f>SUM(E5:E9)</f>
        <v>0</v>
      </c>
      <c r="G10" s="34" t="s">
        <v>106</v>
      </c>
      <c r="H10" s="41"/>
    </row>
    <row r="12" spans="1:8" ht="15" customHeight="1" x14ac:dyDescent="0.3">
      <c r="G12" s="8" t="s">
        <v>107</v>
      </c>
      <c r="H12" s="8"/>
    </row>
    <row r="13" spans="1:8" ht="15" customHeight="1" x14ac:dyDescent="0.3">
      <c r="A13" s="7" t="s">
        <v>108</v>
      </c>
      <c r="B13" s="7"/>
      <c r="C13" s="7"/>
      <c r="G13" s="34" t="s">
        <v>109</v>
      </c>
      <c r="H13" s="39">
        <f>IF(H5=0,0,(E5+E6+E7)/H5)</f>
        <v>0</v>
      </c>
    </row>
    <row r="14" spans="1:8" ht="15" customHeight="1" x14ac:dyDescent="0.3">
      <c r="A14" s="42" t="s">
        <v>110</v>
      </c>
      <c r="B14" s="6" t="s">
        <v>111</v>
      </c>
      <c r="C14" s="6"/>
      <c r="G14" s="34" t="s">
        <v>112</v>
      </c>
      <c r="H14" s="39">
        <f>IF(H5=0,0,E8/H5)</f>
        <v>0</v>
      </c>
    </row>
    <row r="15" spans="1:8" x14ac:dyDescent="0.3">
      <c r="A15" s="29" t="s">
        <v>113</v>
      </c>
      <c r="B15" s="5">
        <f>H5</f>
        <v>0</v>
      </c>
      <c r="C15" s="5"/>
      <c r="G15" s="34" t="s">
        <v>114</v>
      </c>
      <c r="H15" s="39">
        <f>IF(H5=0,0,E9/H5)</f>
        <v>0</v>
      </c>
    </row>
    <row r="16" spans="1:8" x14ac:dyDescent="0.3">
      <c r="A16" s="29" t="s">
        <v>115</v>
      </c>
      <c r="B16" s="5">
        <f>H9</f>
        <v>0</v>
      </c>
      <c r="C16" s="5"/>
      <c r="G16" s="34" t="s">
        <v>116</v>
      </c>
      <c r="H16" s="39">
        <f>IF(H5=0,0,E10/H5)</f>
        <v>0</v>
      </c>
    </row>
    <row r="17" spans="1:3" x14ac:dyDescent="0.3">
      <c r="A17" s="29" t="s">
        <v>117</v>
      </c>
      <c r="B17" s="4"/>
      <c r="C17" s="4"/>
    </row>
    <row r="18" spans="1:3" x14ac:dyDescent="0.3">
      <c r="A18" s="29" t="s">
        <v>118</v>
      </c>
      <c r="B18" s="5">
        <f>E10</f>
        <v>0</v>
      </c>
      <c r="C18" s="5"/>
    </row>
    <row r="19" spans="1:3" x14ac:dyDescent="0.3">
      <c r="A19" s="29" t="s">
        <v>119</v>
      </c>
      <c r="B19" s="4"/>
      <c r="C19" s="4"/>
    </row>
    <row r="20" spans="1:3" x14ac:dyDescent="0.3">
      <c r="A20" s="29" t="s">
        <v>120</v>
      </c>
      <c r="B20" s="4"/>
      <c r="C20" s="4"/>
    </row>
    <row r="21" spans="1:3" x14ac:dyDescent="0.3">
      <c r="A21" s="29" t="s">
        <v>121</v>
      </c>
      <c r="B21" s="4"/>
      <c r="C21" s="4"/>
    </row>
    <row r="22" spans="1:3" x14ac:dyDescent="0.3">
      <c r="A22" s="29" t="s">
        <v>122</v>
      </c>
      <c r="B22" s="4"/>
      <c r="C22" s="4"/>
    </row>
    <row r="23" spans="1:3" x14ac:dyDescent="0.3">
      <c r="A23" s="29" t="s">
        <v>123</v>
      </c>
      <c r="B23" s="4"/>
      <c r="C23" s="4"/>
    </row>
    <row r="24" spans="1:3" x14ac:dyDescent="0.3">
      <c r="A24" s="29" t="s">
        <v>124</v>
      </c>
      <c r="B24" s="4"/>
      <c r="C24" s="4"/>
    </row>
    <row r="26" spans="1:3" x14ac:dyDescent="0.3">
      <c r="A26" s="43" t="s">
        <v>125</v>
      </c>
      <c r="B26" s="3">
        <f>B15</f>
        <v>0</v>
      </c>
      <c r="C26" s="3"/>
    </row>
    <row r="27" spans="1:3" x14ac:dyDescent="0.3">
      <c r="A27" s="44" t="s">
        <v>126</v>
      </c>
      <c r="B27" s="2">
        <f>SUM(B17:B24)</f>
        <v>0</v>
      </c>
      <c r="C27" s="2"/>
    </row>
    <row r="28" spans="1:3" ht="15.6" x14ac:dyDescent="0.3">
      <c r="A28" s="45" t="s">
        <v>127</v>
      </c>
      <c r="B28" s="1">
        <f>B26-B27</f>
        <v>0</v>
      </c>
      <c r="C28" s="1"/>
    </row>
  </sheetData>
  <mergeCells count="19">
    <mergeCell ref="B24:C24"/>
    <mergeCell ref="B26:C26"/>
    <mergeCell ref="B27:C27"/>
    <mergeCell ref="B28:C28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A1:H1"/>
    <mergeCell ref="A3:E3"/>
    <mergeCell ref="G3:H3"/>
    <mergeCell ref="G12:H12"/>
    <mergeCell ref="A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B19"/>
  <sheetViews>
    <sheetView zoomScaleNormal="100" workbookViewId="0">
      <selection sqref="A1:B1"/>
    </sheetView>
  </sheetViews>
  <sheetFormatPr defaultColWidth="8.6640625" defaultRowHeight="14.4" x14ac:dyDescent="0.3"/>
  <cols>
    <col min="1" max="1" width="30" customWidth="1"/>
    <col min="2" max="2" width="70" customWidth="1"/>
  </cols>
  <sheetData>
    <row r="1" spans="1:2" ht="17.399999999999999" customHeight="1" x14ac:dyDescent="0.3">
      <c r="A1" s="48" t="s">
        <v>128</v>
      </c>
      <c r="B1" s="48"/>
    </row>
    <row r="2" spans="1:2" x14ac:dyDescent="0.3">
      <c r="A2" s="46"/>
      <c r="B2" s="46"/>
    </row>
    <row r="3" spans="1:2" x14ac:dyDescent="0.3">
      <c r="A3" s="47" t="s">
        <v>129</v>
      </c>
      <c r="B3" s="46"/>
    </row>
    <row r="4" spans="1:2" x14ac:dyDescent="0.3">
      <c r="A4" s="47" t="s">
        <v>130</v>
      </c>
      <c r="B4" s="46" t="s">
        <v>131</v>
      </c>
    </row>
    <row r="5" spans="1:2" x14ac:dyDescent="0.3">
      <c r="A5" s="47" t="s">
        <v>132</v>
      </c>
      <c r="B5" s="46" t="s">
        <v>133</v>
      </c>
    </row>
    <row r="6" spans="1:2" x14ac:dyDescent="0.3">
      <c r="A6" s="47" t="s">
        <v>134</v>
      </c>
      <c r="B6" s="46" t="s">
        <v>135</v>
      </c>
    </row>
    <row r="7" spans="1:2" x14ac:dyDescent="0.3">
      <c r="A7" s="47" t="s">
        <v>136</v>
      </c>
      <c r="B7" s="46" t="s">
        <v>137</v>
      </c>
    </row>
    <row r="8" spans="1:2" x14ac:dyDescent="0.3">
      <c r="A8" s="46"/>
      <c r="B8" s="46"/>
    </row>
    <row r="9" spans="1:2" x14ac:dyDescent="0.3">
      <c r="A9" s="47" t="s">
        <v>138</v>
      </c>
      <c r="B9" s="46"/>
    </row>
    <row r="10" spans="1:2" x14ac:dyDescent="0.3">
      <c r="A10" s="47" t="s">
        <v>139</v>
      </c>
      <c r="B10" s="46" t="s">
        <v>140</v>
      </c>
    </row>
    <row r="11" spans="1:2" x14ac:dyDescent="0.3">
      <c r="A11" s="47" t="s">
        <v>141</v>
      </c>
      <c r="B11" s="46" t="s">
        <v>142</v>
      </c>
    </row>
    <row r="12" spans="1:2" x14ac:dyDescent="0.3">
      <c r="A12" s="47" t="s">
        <v>143</v>
      </c>
      <c r="B12" s="46" t="s">
        <v>144</v>
      </c>
    </row>
    <row r="13" spans="1:2" x14ac:dyDescent="0.3">
      <c r="A13" s="47" t="s">
        <v>145</v>
      </c>
      <c r="B13" s="46" t="s">
        <v>146</v>
      </c>
    </row>
    <row r="14" spans="1:2" x14ac:dyDescent="0.3">
      <c r="A14" s="46"/>
      <c r="B14" s="46"/>
    </row>
    <row r="15" spans="1:2" x14ac:dyDescent="0.3">
      <c r="A15" s="47" t="s">
        <v>147</v>
      </c>
      <c r="B15" s="46"/>
    </row>
    <row r="16" spans="1:2" x14ac:dyDescent="0.3">
      <c r="A16" s="46" t="s">
        <v>148</v>
      </c>
      <c r="B16" s="46" t="s">
        <v>149</v>
      </c>
    </row>
    <row r="17" spans="1:2" x14ac:dyDescent="0.3">
      <c r="A17" s="46" t="s">
        <v>150</v>
      </c>
      <c r="B17" s="46" t="s">
        <v>151</v>
      </c>
    </row>
    <row r="18" spans="1:2" x14ac:dyDescent="0.3">
      <c r="A18" s="46" t="s">
        <v>152</v>
      </c>
      <c r="B18" s="46" t="s">
        <v>153</v>
      </c>
    </row>
    <row r="19" spans="1:2" x14ac:dyDescent="0.3">
      <c r="A19" s="46" t="s">
        <v>154</v>
      </c>
      <c r="B19" s="46" t="s">
        <v>155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STOK TAKİBİ</vt:lpstr>
      <vt:lpstr>ZAYİ TAKİBİ</vt:lpstr>
      <vt:lpstr>İKRAM TAKİBİ</vt:lpstr>
      <vt:lpstr>COST - P&amp;L</vt:lpstr>
      <vt:lpstr>KULLANIM KILAVUZU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İBRAHİM CAN URFALI</cp:lastModifiedBy>
  <cp:revision>0</cp:revision>
  <dcterms:created xsi:type="dcterms:W3CDTF">2026-03-14T15:47:09Z</dcterms:created>
  <dcterms:modified xsi:type="dcterms:W3CDTF">2026-03-15T16:01:26Z</dcterms:modified>
  <dc:language>en-US</dc:language>
</cp:coreProperties>
</file>